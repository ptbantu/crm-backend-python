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00" windowHeight="14160"/>
  </bookViews>
  <sheets>
    <sheet name="斑兔标准定价" sheetId="1" r:id="rId1"/>
    <sheet name="调价策略" sheetId="2" r:id="rId2"/>
    <sheet name="工作签证成本价格" sheetId="3" r:id="rId3"/>
    <sheet name="曾科林" sheetId="4" r:id="rId4"/>
    <sheet name="lyn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<sst xmlns="http://schemas.openxmlformats.org/spreadsheetml/2006/main" count="904" uniqueCount="593">
  <si>
    <t>服务项目</t>
  </si>
  <si>
    <t>产品分类</t>
  </si>
  <si>
    <t>产品编号</t>
  </si>
  <si>
    <t>成本价格</t>
  </si>
  <si>
    <t>渠道合作价(IDR)</t>
  </si>
  <si>
    <t>渠道合作价(CNY)</t>
  </si>
  <si>
    <t>价格(IDR)</t>
  </si>
  <si>
    <t>价格(RMB)</t>
  </si>
  <si>
    <t>渠道方利润</t>
  </si>
  <si>
    <t>利润率</t>
  </si>
  <si>
    <t>渠道客户利润</t>
  </si>
  <si>
    <t>直客利润</t>
  </si>
  <si>
    <t>所需资料</t>
  </si>
  <si>
    <t>办理时长</t>
  </si>
  <si>
    <t>备注</t>
  </si>
  <si>
    <t>SLA</t>
  </si>
  <si>
    <t>提成比例</t>
  </si>
  <si>
    <t>提成金额</t>
  </si>
  <si>
    <t>等值人民币</t>
  </si>
  <si>
    <t>每月单数</t>
  </si>
  <si>
    <t>合计</t>
  </si>
  <si>
    <t>删除出境数据延迟</t>
  </si>
  <si>
    <t>落地签【B1】新办</t>
  </si>
  <si>
    <t>VisaService_签证服务</t>
  </si>
  <si>
    <t>B1</t>
  </si>
  <si>
    <t>护照首页照片+电子版证件照</t>
  </si>
  <si>
    <t>当天</t>
  </si>
  <si>
    <t>护照有效期不能低于18个月。</t>
  </si>
  <si>
    <t>12小时</t>
  </si>
  <si>
    <t>落地签【B1】续签</t>
  </si>
  <si>
    <t>B1_Extend</t>
  </si>
  <si>
    <t>护照首页照片;</t>
  </si>
  <si>
    <t>24小时</t>
  </si>
  <si>
    <r>
      <rPr>
        <sz val="10"/>
        <color theme="1"/>
        <rFont val="Calibri"/>
        <charset val="134"/>
      </rPr>
      <t>落地签【B1】</t>
    </r>
    <r>
      <rPr>
        <sz val="10"/>
        <color rgb="FFFF0000"/>
        <rFont val="Calibri"/>
        <charset val="134"/>
      </rPr>
      <t>续签加速点一下</t>
    </r>
  </si>
  <si>
    <r>
      <rPr>
        <sz val="10"/>
        <color theme="1"/>
        <rFont val="Calibri"/>
        <charset val="134"/>
      </rPr>
      <t>落地签【B1】</t>
    </r>
    <r>
      <rPr>
        <sz val="10"/>
        <color rgb="FFFF0000"/>
        <rFont val="Calibri"/>
        <charset val="134"/>
      </rPr>
      <t>续签加速点一下（tangerang ）</t>
    </r>
  </si>
  <si>
    <r>
      <rPr>
        <sz val="10"/>
        <color theme="1"/>
        <rFont val="Calibri"/>
        <charset val="134"/>
      </rPr>
      <t>落地签【B1】机场线下</t>
    </r>
    <r>
      <rPr>
        <sz val="10"/>
        <color rgb="FFFF0000"/>
        <rFont val="Calibri"/>
        <charset val="134"/>
      </rPr>
      <t>续签</t>
    </r>
  </si>
  <si>
    <t>B1_Extend_offline</t>
  </si>
  <si>
    <t>护照原件+到移民局柜台办理</t>
  </si>
  <si>
    <t>3工作日</t>
  </si>
  <si>
    <r>
      <rPr>
        <sz val="10"/>
        <color theme="1"/>
        <rFont val="Calibri"/>
        <charset val="134"/>
      </rPr>
      <t>落地签【B1】机场线下</t>
    </r>
    <r>
      <rPr>
        <sz val="10"/>
        <color rgb="FFFF0000"/>
        <rFont val="Calibri"/>
        <charset val="134"/>
      </rPr>
      <t>续签</t>
    </r>
    <r>
      <rPr>
        <sz val="10"/>
        <color theme="1"/>
        <rFont val="Calibri"/>
        <charset val="134"/>
      </rPr>
      <t>_免拍照录指纹</t>
    </r>
  </si>
  <si>
    <t>B1_Extend_ignorefoto</t>
  </si>
  <si>
    <t>护照原件+护照首页照片+入境贴纸页</t>
  </si>
  <si>
    <r>
      <rPr>
        <sz val="10"/>
        <color theme="1"/>
        <rFont val="Calibri"/>
        <charset val="134"/>
      </rPr>
      <t>落地/商务签免出境手续费（</t>
    </r>
    <r>
      <rPr>
        <sz val="10"/>
        <color rgb="FFFF0000"/>
        <rFont val="Calibri"/>
        <charset val="134"/>
      </rPr>
      <t>直接新办商务签、投资签服务</t>
    </r>
    <r>
      <rPr>
        <sz val="10"/>
        <color theme="1"/>
        <rFont val="Calibri"/>
        <charset val="134"/>
      </rPr>
      <t>）</t>
    </r>
  </si>
  <si>
    <t>在境内新办下签费用 渠道800k 直客1jt</t>
  </si>
  <si>
    <t>新办签证在移民局加速下签-3个工作日 渠道1.2jt  直客1.5jt</t>
  </si>
  <si>
    <r>
      <rPr>
        <sz val="10"/>
        <color theme="1"/>
        <rFont val="Calibri"/>
        <charset val="134"/>
      </rPr>
      <t>单次商务签 【C2 C11】单次商务签 (工作日</t>
    </r>
    <r>
      <rPr>
        <sz val="10"/>
        <color rgb="FFFF0000"/>
        <rFont val="Calibri"/>
        <charset val="134"/>
      </rPr>
      <t>当天</t>
    </r>
    <r>
      <rPr>
        <sz val="10"/>
        <color theme="1"/>
        <rFont val="Calibri"/>
        <charset val="134"/>
      </rPr>
      <t>出签) 暂停</t>
    </r>
  </si>
  <si>
    <t>C211_1Day</t>
  </si>
  <si>
    <t>工作日当天，资料需12点前提交</t>
  </si>
  <si>
    <r>
      <rPr>
        <sz val="10"/>
        <color theme="1"/>
        <rFont val="Calibri"/>
        <charset val="134"/>
      </rPr>
      <t>单次商务签 【C2 C11】单次商务签 (工作日</t>
    </r>
    <r>
      <rPr>
        <sz val="10"/>
        <color rgb="FFFF0000"/>
        <rFont val="Calibri"/>
        <charset val="134"/>
      </rPr>
      <t>次日</t>
    </r>
    <r>
      <rPr>
        <sz val="10"/>
        <color theme="1"/>
        <rFont val="Calibri"/>
        <charset val="134"/>
      </rPr>
      <t>出签) 暂停</t>
    </r>
  </si>
  <si>
    <t>C211_2Day</t>
  </si>
  <si>
    <r>
      <rPr>
        <sz val="10"/>
        <color theme="1"/>
        <rFont val="Calibri"/>
        <charset val="134"/>
      </rPr>
      <t>单次商务签 【C2 C11】单次商务签 (工作日</t>
    </r>
    <r>
      <rPr>
        <sz val="10"/>
        <color rgb="FFFF0000"/>
        <rFont val="Calibri"/>
        <charset val="134"/>
      </rPr>
      <t>3个</t>
    </r>
    <r>
      <rPr>
        <sz val="10"/>
        <color theme="1"/>
        <rFont val="Calibri"/>
        <charset val="134"/>
      </rPr>
      <t>日出签)</t>
    </r>
  </si>
  <si>
    <t>C211_3Day</t>
  </si>
  <si>
    <r>
      <rPr>
        <sz val="10"/>
        <color theme="1"/>
        <rFont val="Calibri"/>
        <charset val="134"/>
      </rPr>
      <t>单次商务签 【C2 C11】单次商务签(</t>
    </r>
    <r>
      <rPr>
        <sz val="10"/>
        <color rgb="FFFF0000"/>
        <rFont val="Calibri"/>
        <charset val="134"/>
      </rPr>
      <t>8个</t>
    </r>
    <r>
      <rPr>
        <sz val="10"/>
        <color theme="1"/>
        <rFont val="Calibri"/>
        <charset val="134"/>
      </rPr>
      <t>工作日出签)</t>
    </r>
  </si>
  <si>
    <t>C211</t>
  </si>
  <si>
    <t>10工作日</t>
  </si>
  <si>
    <t>8工作日</t>
  </si>
  <si>
    <r>
      <rPr>
        <sz val="10"/>
        <color theme="1"/>
        <rFont val="Calibri"/>
        <charset val="134"/>
      </rPr>
      <t>单次商务签 【C2 C11】单次商务签</t>
    </r>
    <r>
      <rPr>
        <sz val="10"/>
        <color rgb="FFFF0000"/>
        <rFont val="Calibri"/>
        <charset val="134"/>
      </rPr>
      <t>续期（续商务签在tangerang  点一下 变成 750K ）</t>
    </r>
  </si>
  <si>
    <t>C211_extend</t>
  </si>
  <si>
    <t>护照首页照片+ITK</t>
  </si>
  <si>
    <t>5工作日</t>
  </si>
  <si>
    <t>1工作日</t>
  </si>
  <si>
    <t>单次商务签 【C2 C11】单次商务签ITK找回</t>
  </si>
  <si>
    <r>
      <rPr>
        <sz val="10"/>
        <color theme="1"/>
        <rFont val="Calibri"/>
        <charset val="134"/>
      </rPr>
      <t>单次商务签</t>
    </r>
    <r>
      <rPr>
        <sz val="10"/>
        <color rgb="FFFF0000"/>
        <rFont val="Calibri"/>
        <charset val="134"/>
      </rPr>
      <t>转</t>
    </r>
    <r>
      <rPr>
        <sz val="10"/>
        <color theme="1"/>
        <rFont val="Calibri"/>
        <charset val="134"/>
      </rPr>
      <t>投资签、工作签手续费(</t>
    </r>
    <r>
      <rPr>
        <sz val="10"/>
        <color rgb="FFFF0000"/>
        <rFont val="Calibri"/>
        <charset val="134"/>
      </rPr>
      <t>不出境 大于25个工作日</t>
    </r>
    <r>
      <rPr>
        <sz val="10"/>
        <color theme="1"/>
        <rFont val="Calibri"/>
        <charset val="134"/>
      </rPr>
      <t>)</t>
    </r>
  </si>
  <si>
    <t>C211ToKitas</t>
  </si>
  <si>
    <t>跟随工作签、商务签办理时间</t>
  </si>
  <si>
    <t>单次投资商务签C12（3个工作日）</t>
  </si>
  <si>
    <t>单次投资商务签C12（8个工作日）</t>
  </si>
  <si>
    <t>单次工作商务签 C18-90天  （用斑兔担保或提供MO账户）3个工作日出签</t>
  </si>
  <si>
    <t>单次工作商务签 C18-90天  （用斑兔担保或提供MO账户）8个工作日出签</t>
  </si>
  <si>
    <t>单次工作商务签C16  C17  C20（用斑兔担保或提供MO账户）3个工作日出签</t>
  </si>
  <si>
    <t>单次工作商务签C16 C17   C20（用斑兔担保或提供MO账户）8个工作日出签</t>
  </si>
  <si>
    <t>单次工作商务签C16  C17  C20（需要拉MO账户）3个工作日出签</t>
  </si>
  <si>
    <t>单次工作商务签C16   C17  C20（需要拉MO账户）8个工作日出签 C17</t>
  </si>
  <si>
    <r>
      <rPr>
        <sz val="10"/>
        <color theme="1"/>
        <rFont val="Calibri"/>
        <charset val="134"/>
      </rPr>
      <t>多次商务签 D2一年多次商务签(工作日</t>
    </r>
    <r>
      <rPr>
        <sz val="10"/>
        <color rgb="FFFF0000"/>
        <rFont val="Calibri"/>
        <charset val="134"/>
      </rPr>
      <t>当天</t>
    </r>
    <r>
      <rPr>
        <sz val="10"/>
        <color theme="1"/>
        <rFont val="Calibri"/>
        <charset val="134"/>
      </rPr>
      <t>出签) 暂停</t>
    </r>
  </si>
  <si>
    <t>C212_1Day</t>
  </si>
  <si>
    <r>
      <rPr>
        <sz val="10"/>
        <color theme="1"/>
        <rFont val="Calibri"/>
        <charset val="134"/>
      </rPr>
      <t>多次商务签 D2 一年多次商务签(工作日</t>
    </r>
    <r>
      <rPr>
        <sz val="10"/>
        <color rgb="FFFF0000"/>
        <rFont val="Calibri"/>
        <charset val="134"/>
      </rPr>
      <t>次日</t>
    </r>
    <r>
      <rPr>
        <sz val="10"/>
        <color theme="1"/>
        <rFont val="Calibri"/>
        <charset val="134"/>
      </rPr>
      <t>出签) 暂停</t>
    </r>
  </si>
  <si>
    <r>
      <rPr>
        <sz val="10"/>
        <color theme="1"/>
        <rFont val="Calibri"/>
        <charset val="134"/>
      </rPr>
      <t>多次商务签 D2一年多次商务签(</t>
    </r>
    <r>
      <rPr>
        <sz val="10"/>
        <color rgb="FFFF0000"/>
        <rFont val="Calibri"/>
        <charset val="134"/>
      </rPr>
      <t>3个</t>
    </r>
    <r>
      <rPr>
        <sz val="10"/>
        <color theme="1"/>
        <rFont val="Calibri"/>
        <charset val="134"/>
      </rPr>
      <t>工作日出签)</t>
    </r>
  </si>
  <si>
    <t>C212_3Day</t>
  </si>
  <si>
    <r>
      <rPr>
        <sz val="10"/>
        <color theme="1"/>
        <rFont val="Calibri"/>
        <charset val="134"/>
      </rPr>
      <t>多次商务签 D2一年多次商务签(</t>
    </r>
    <r>
      <rPr>
        <sz val="10"/>
        <color rgb="FFFF0000"/>
        <rFont val="Calibri"/>
        <charset val="134"/>
      </rPr>
      <t>8个</t>
    </r>
    <r>
      <rPr>
        <sz val="10"/>
        <color theme="1"/>
        <rFont val="Calibri"/>
        <charset val="134"/>
      </rPr>
      <t>工作日出签)</t>
    </r>
  </si>
  <si>
    <t>C212</t>
  </si>
  <si>
    <t>多次商务签 D2二年多次商务签(3个工作日出签)</t>
  </si>
  <si>
    <t>多次商务签D2免出境服务（暂停）</t>
  </si>
  <si>
    <t>WithoutKeluar</t>
  </si>
  <si>
    <t>护照首页照片+护照贴签页+原签证电子版文件</t>
  </si>
  <si>
    <t>境内多次商务签D2注销（移民局系统删除）</t>
  </si>
  <si>
    <t>落地签、单次(多次)商务签逾期处理</t>
  </si>
  <si>
    <t>拉/转WLKP账户</t>
  </si>
  <si>
    <t>拉/转TKAONLINE账户</t>
  </si>
  <si>
    <t>拉/转Molina账户</t>
  </si>
  <si>
    <t>E33数字游民E33G</t>
  </si>
  <si>
    <t>需要客户提供 
1. 银行账户证明年薪或收入至少为60,000美元；
2. 与在印度尼西亚领土以外成立的公司签订的雇佣合同</t>
  </si>
  <si>
    <t>D12（一年） 180天往返</t>
  </si>
  <si>
    <t>D12（两年） 180天往返</t>
  </si>
  <si>
    <r>
      <rPr>
        <sz val="10"/>
        <color theme="1"/>
        <rFont val="Calibri"/>
        <charset val="134"/>
      </rPr>
      <t>投资签 E28A(工作日</t>
    </r>
    <r>
      <rPr>
        <sz val="10"/>
        <color rgb="FFFF0000"/>
        <rFont val="Calibri"/>
        <charset val="134"/>
      </rPr>
      <t>次日</t>
    </r>
    <r>
      <rPr>
        <sz val="10"/>
        <color theme="1"/>
        <rFont val="Calibri"/>
        <charset val="134"/>
      </rPr>
      <t>出签)已有MOLINA账户</t>
    </r>
  </si>
  <si>
    <t>C314_2day</t>
  </si>
  <si>
    <t>如果无公司，需要先注册公司;
1. 企业登记卡 NIB
2. 公司税卡 NPWP
3. 公司户籍 IZIN LOKASI
4. 公司章程(如有变更一并附上) AKTA
5. 司法部批文(如有变更一并附上) SK
6. 公司信纸和盖章 KOP SURAT &amp; STEMPEL
所需个人资料：
1. 个人护照首页照片
2. 电子版证件照
办理条件：办理人需要是公司股东，并且他股本要达到10M
办理时长：+/- 20工作日</t>
  </si>
  <si>
    <t>境外：5工作日  境内商务签转签：15工作日</t>
  </si>
  <si>
    <r>
      <rPr>
        <sz val="10"/>
        <color rgb="FF000000"/>
        <rFont val="Calibri"/>
        <charset val="134"/>
      </rPr>
      <t>包含150美金 两年投资签、护照有效期不低于8个月；    转签无需出境  需加转签费，境内选择</t>
    </r>
    <r>
      <rPr>
        <sz val="10"/>
        <color rgb="FFFF0000"/>
        <rFont val="Calibri"/>
        <charset val="134"/>
      </rPr>
      <t>新办不转签</t>
    </r>
    <r>
      <rPr>
        <sz val="10"/>
        <color rgb="FF000000"/>
        <rFont val="Calibri"/>
        <charset val="134"/>
      </rPr>
      <t>，需要在办理前出境</t>
    </r>
  </si>
  <si>
    <r>
      <rPr>
        <sz val="10"/>
        <color theme="1"/>
        <rFont val="Calibri"/>
        <charset val="134"/>
      </rPr>
      <t>投资签 E28A(</t>
    </r>
    <r>
      <rPr>
        <sz val="10"/>
        <color rgb="FFFF0000"/>
        <rFont val="Calibri"/>
        <charset val="134"/>
      </rPr>
      <t>3</t>
    </r>
    <r>
      <rPr>
        <sz val="10"/>
        <color theme="1"/>
        <rFont val="Calibri"/>
        <charset val="134"/>
      </rPr>
      <t>工作日出签)</t>
    </r>
  </si>
  <si>
    <t>C314_10day</t>
  </si>
  <si>
    <r>
      <rPr>
        <sz val="10"/>
        <color rgb="FF000000"/>
        <rFont val="Calibri"/>
        <charset val="134"/>
      </rPr>
      <t>包含150美金 两年投资签、护照有效期不低于8个月；   转签无需出境  需加转签费，境内选择</t>
    </r>
    <r>
      <rPr>
        <sz val="10"/>
        <color rgb="FFFF0000"/>
        <rFont val="Calibri"/>
        <charset val="134"/>
      </rPr>
      <t>新办不转签</t>
    </r>
    <r>
      <rPr>
        <sz val="10"/>
        <color rgb="FF000000"/>
        <rFont val="Calibri"/>
        <charset val="134"/>
      </rPr>
      <t>，需要在办理前出境</t>
    </r>
  </si>
  <si>
    <r>
      <rPr>
        <sz val="10"/>
        <color theme="1"/>
        <rFont val="Calibri"/>
        <charset val="134"/>
      </rPr>
      <t>投资签 E28A(</t>
    </r>
    <r>
      <rPr>
        <sz val="10"/>
        <color rgb="FFFF0000"/>
        <rFont val="Calibri"/>
        <charset val="134"/>
      </rPr>
      <t>4-5</t>
    </r>
    <r>
      <rPr>
        <sz val="10"/>
        <color theme="1"/>
        <rFont val="Calibri"/>
        <charset val="134"/>
      </rPr>
      <t>工作日出签)护照有效期不低于8个月</t>
    </r>
  </si>
  <si>
    <t>投资签  变更新公司主体</t>
  </si>
  <si>
    <t>投资签挂靠手续服务</t>
  </si>
  <si>
    <t>投资签挂靠第二年公司运营维护费用</t>
  </si>
  <si>
    <t>投资签续签（自营）</t>
  </si>
  <si>
    <t>公司资料+个人税卡+个人资料（护照+kitas/itas）</t>
  </si>
  <si>
    <t>投资签续签（外部）拉molina账户</t>
  </si>
  <si>
    <t xml:space="preserve">工作签 E23【C312】35个工作日出签（12 月）（已注册三个账户却不能提供账户）护照有效期不低于18个月 </t>
  </si>
  <si>
    <t>C312</t>
  </si>
  <si>
    <t>办理工作签证的所需资料：
1. 个人护照首页照片
2. 电子版证件照
3. 企业登记卡 NIB
4. 公司税卡 NPWP
5. 公司户籍KKPR
6. 公司章程(如有变更一并附上最新的) AKTA
7. 司法部批文(如有变更一并附上最新的) SK
8. 公司信纸和盖章 KOP SURAT &amp; STEMPEL
9.岗位名称
10.居住地址
11.公司地址（如果公司存在多个地址）
条件：护照有效期至少8个月
办理时长：+/- 30工作日</t>
  </si>
  <si>
    <t>境外：35工作日  境内商务签转签：40工作日
聘用外劳计划书 RPTKA ；2. 美金支付通知单 DKPTKA
；3. 聘用外劳许可通知书 IMTA</t>
  </si>
  <si>
    <r>
      <rPr>
        <sz val="10"/>
        <color rgb="FF000000"/>
        <rFont val="Calibri"/>
        <charset val="134"/>
      </rPr>
      <t xml:space="preserve">包含150美金  移民局费用，不含1200美金 税费；不含SKTT ;商务签转签无需出境  </t>
    </r>
    <r>
      <rPr>
        <sz val="10"/>
        <color rgb="FFFF0000"/>
        <rFont val="Calibri"/>
        <charset val="134"/>
      </rPr>
      <t>需加转签费，</t>
    </r>
    <r>
      <rPr>
        <sz val="10"/>
        <color rgb="FF000000"/>
        <rFont val="Calibri"/>
        <charset val="134"/>
      </rPr>
      <t>境内持商务签选择</t>
    </r>
    <r>
      <rPr>
        <sz val="10"/>
        <color rgb="FFFF0000"/>
        <rFont val="Calibri"/>
        <charset val="134"/>
      </rPr>
      <t>新办不转签</t>
    </r>
    <r>
      <rPr>
        <sz val="10"/>
        <color rgb="FF000000"/>
        <rFont val="Calibri"/>
        <charset val="134"/>
      </rPr>
      <t>，需要在办理前出境；着急可使用落地签重新入境，办理完成后需要离境重新进入</t>
    </r>
  </si>
  <si>
    <t xml:space="preserve">工作签 E23【C312】35个工作日出签（12 月）（未注册三个账户或能提供三个账户）护照有效期不低于18个月  </t>
  </si>
  <si>
    <t>提前两个月办理工作签证续签的所需资料：
公司资料PDF版：AKTA SK NIB NPWP  KKPR   、信头纸（word）、公章（盖在信头纸拍照片）
个人资料：护照首页照片 、itas、个人税卡 、个人社保卡（不能断缴）
证件资料：IMTA 、DPKK、RPTKA、美金单支付凭证（有最好）
账户资料：wlkp、 tka online 、 molina 账户以及密码</t>
  </si>
  <si>
    <r>
      <rPr>
        <sz val="10"/>
        <color theme="1"/>
        <rFont val="Calibri"/>
        <charset val="134"/>
      </rPr>
      <t>工作签 E23【C312】35个工作日出签（12 月）（</t>
    </r>
    <r>
      <rPr>
        <sz val="10"/>
        <color rgb="FFCC0000"/>
        <rFont val="Calibri"/>
        <charset val="134"/>
      </rPr>
      <t>斑兔创建三个账户+自营办理</t>
    </r>
    <r>
      <rPr>
        <sz val="10"/>
        <color theme="1"/>
        <rFont val="Calibri"/>
        <charset val="134"/>
      </rPr>
      <t xml:space="preserve">）护照有效期不低于18个月 </t>
    </r>
  </si>
  <si>
    <t xml:space="preserve">工作签 E23【C312】35个工作日出签+境内下签（12 月）（未注册三个账户或能提供三个账户）护照有效期不低于18个月 </t>
  </si>
  <si>
    <t>单次商务签免出境转工作签40个工作日（12个月）</t>
  </si>
  <si>
    <t>工作签挂靠手续服务</t>
  </si>
  <si>
    <t>工作签签续签（无社保卡医保卡需要+400K）</t>
  </si>
  <si>
    <t>WLK账户迁出服务</t>
  </si>
  <si>
    <t>印尼员工担保人身份证，户口本， 邮箱地址以及印尼电话号码（正在使用的）</t>
  </si>
  <si>
    <t>签证EVISA信息修改(姓名、出生日期、国籍、护照、照片 户籍)</t>
  </si>
  <si>
    <t>补办RPTKA</t>
  </si>
  <si>
    <t>新增（RPTKA）区域（自办签证）</t>
  </si>
  <si>
    <t>新增（RPTKA）区域（外办签证）</t>
  </si>
  <si>
    <t>下载ITAS（外办签证）</t>
  </si>
  <si>
    <t>itas修改居住地址（自办签证）</t>
  </si>
  <si>
    <t>kitas_ganti_addr</t>
  </si>
  <si>
    <t>原签证电子版文件，公司全套资料、物业居住证明</t>
  </si>
  <si>
    <t>itas修改居住地址（外办签证）</t>
  </si>
  <si>
    <t>itas一般岗位升级到sk岗位</t>
  </si>
  <si>
    <t>护照换新,原签证迁移</t>
  </si>
  <si>
    <t>VisaToNewPassport</t>
  </si>
  <si>
    <t>护照原件，原签证电子版文件，公司全套资料、租赁合同或者物业居住证明</t>
  </si>
  <si>
    <t>ITAS转KITAP(同一公司投资签满3年，股份15M)</t>
  </si>
  <si>
    <t>特殊签证免查保护费-EVOA/月</t>
  </si>
  <si>
    <t>特殊签证免查保护费-商务签/月</t>
  </si>
  <si>
    <t>特殊签证免查保护费-投资签/月</t>
  </si>
  <si>
    <r>
      <rPr>
        <sz val="10"/>
        <color theme="1"/>
        <rFont val="Calibri"/>
        <charset val="134"/>
      </rPr>
      <t>家属陪同签证1年【E23】(</t>
    </r>
    <r>
      <rPr>
        <sz val="10"/>
        <color rgb="FFFF0000"/>
        <rFont val="Calibri"/>
        <charset val="134"/>
      </rPr>
      <t>5-7</t>
    </r>
    <r>
      <rPr>
        <sz val="10"/>
        <color theme="1"/>
        <rFont val="Calibri"/>
        <charset val="134"/>
      </rPr>
      <t>工作日出签)</t>
    </r>
  </si>
  <si>
    <t>C317_imigration</t>
  </si>
  <si>
    <t>办理陪伴签所需个人资料 SYARAT DOKUMEN PRIBADI        
1        申请人护照扫描件 FOTOCOPY PASSORT
2        户口本 KK和结婚证 Akta Nikah （翻译成印尼语或英文）
3        如是小孩，提供出生证明 AKTA LAHIR （翻译成印尼语或英文）
4        被陪伴人的暂住证Kitas（有效期不能低于6个月）
5        被陪伴人的护照Passport
6        被陪伴人的民政局居住证SKTT</t>
  </si>
  <si>
    <t>境外：10工作日  境内商务签转签：15工作日</t>
  </si>
  <si>
    <r>
      <rPr>
        <sz val="10"/>
        <color rgb="FF000000"/>
        <rFont val="Calibri"/>
        <charset val="134"/>
      </rPr>
      <t>商务签转签</t>
    </r>
    <r>
      <rPr>
        <sz val="10"/>
        <color rgb="FFFF0000"/>
        <rFont val="Calibri"/>
        <charset val="134"/>
      </rPr>
      <t xml:space="preserve"> 需加转签费</t>
    </r>
  </si>
  <si>
    <r>
      <rPr>
        <sz val="10"/>
        <color theme="1"/>
        <rFont val="Calibri"/>
        <charset val="134"/>
      </rPr>
      <t>家属陪同签证2年【E28】(</t>
    </r>
    <r>
      <rPr>
        <sz val="10"/>
        <color rgb="FFFF0000"/>
        <rFont val="Calibri"/>
        <charset val="134"/>
      </rPr>
      <t>5-7</t>
    </r>
    <r>
      <rPr>
        <sz val="10"/>
        <color theme="1"/>
        <rFont val="Calibri"/>
        <charset val="134"/>
      </rPr>
      <t>工作日出签)</t>
    </r>
  </si>
  <si>
    <t>家属陪同签2年【印尼老婆】5-7工作日出签)</t>
  </si>
  <si>
    <t>老婆的出生证 身份证 户口本 结婚证</t>
  </si>
  <si>
    <t>学生签E30(1年)</t>
  </si>
  <si>
    <t>Student</t>
  </si>
  <si>
    <t>学生签E30(2年)</t>
  </si>
  <si>
    <t>第二家园签E33</t>
  </si>
  <si>
    <t>E33</t>
  </si>
  <si>
    <t>1. 护照，有效期不低于36个月
2. 电子证件照片（底色尺寸五要求）
3. 银行存款证明（至少需要有2M印尼盾）
4. 申请人个人英文履历</t>
  </si>
  <si>
    <t>45-60个工作日</t>
  </si>
  <si>
    <t>STM+SKTT</t>
  </si>
  <si>
    <t>印尼驾照_外国公民</t>
  </si>
  <si>
    <t>SIM_WNA</t>
  </si>
  <si>
    <t>提供下驾照的办理资料：
1. 本人护照原件（办理时携带）和护照首页照片
2. 印尼暂住证(Kitas)或印尼定居证(Kitap) 
3. 护照上移民局盖的ITAS ONLINE章复印件或白色贴纸
提前预约前往:Jln.Satpas Sim Daan Mogot KM 11. Jakarta barat 拍照</t>
  </si>
  <si>
    <t>注销投资签证（资料+ 账户齐全）+（大雅加达区域）</t>
  </si>
  <si>
    <t>DeleteVisa</t>
  </si>
  <si>
    <t>人已出境：护照首页照片+原签证电子版+最近一次入境贴签页+最近一次出境记录盖章页（ERP工作签）
人在境内：护照原件+签证电子版+证件照，无需本人到场，注销成功后，3天必须离境(EPO工作签)</t>
  </si>
  <si>
    <t>注销投资签证（资料+ 账户不齐全）+（大雅加达区域）</t>
  </si>
  <si>
    <t>注销工作签证（资料+ 账户齐全）+（大雅加达区域）</t>
  </si>
  <si>
    <t xml:space="preserve">公司资料：npwp nib akta sk kkkpr 
个人资料：护照首页 出境机票 Itas（老KITAS两页） imta rptka 1200美金单 1200美金单支付凭证 </t>
  </si>
  <si>
    <t>注销工作签证（资料+ 账户不齐全）+（非雅加达区域）</t>
  </si>
  <si>
    <t>印尼人去中国 旅游签 L1(3个月保值期 待30天)（3个工作日）</t>
  </si>
  <si>
    <t>ToChinaL1</t>
  </si>
  <si>
    <t>印尼公民护照首页照片+护照原件</t>
  </si>
  <si>
    <t>7个工作日</t>
  </si>
  <si>
    <t>印尼人去中国 旅游签 L1（4个工作日）</t>
  </si>
  <si>
    <t>印尼人去中国的商务签M（6个月保值期 待30天）-3个工作日</t>
  </si>
  <si>
    <t>印尼人去中国的多次往返的商务签M（6个月保值期 待30天）-3个工作日</t>
  </si>
  <si>
    <t>印尼人护照</t>
  </si>
  <si>
    <t>需要身份证，户口本，毕业证书 先办理电子文件 再去移民局现场办理   给你约时间去办理 去现场时在带上原件</t>
  </si>
  <si>
    <t xml:space="preserve"> 2个工作日</t>
  </si>
  <si>
    <t>机场内部接送关</t>
  </si>
  <si>
    <t>Jemput&amp;AntarService_接送关服务</t>
  </si>
  <si>
    <t>JemputAntar</t>
  </si>
  <si>
    <t>公司代表处（KP3A）</t>
  </si>
  <si>
    <t>建筑公司代表处</t>
  </si>
  <si>
    <t>外资分公司注册</t>
  </si>
  <si>
    <t>CV公司注册</t>
  </si>
  <si>
    <t>公司注册-PMA(外资公司)（雅加达+唐格朗）</t>
  </si>
  <si>
    <t>CompanyService_公司开办服务</t>
  </si>
  <si>
    <t>CPMA</t>
  </si>
  <si>
    <t>1.法人姓名及护照照片；
2.监事姓名及护照照片；
3.公司名称（PT.）2—3个单词（英文、印尼文均可）；
4.公司经营范围；（我们来提供确认）.股东比例；
5.注册资金：如需办理投资签，则对应股东股本不少于10M 
6.雅加达注册地址及租赁合同扫描件，如果使用虚拟地址则无需提供；</t>
  </si>
  <si>
    <t>所含服务：
1.公司章程办理；
2.司法部批文；
3.NIB 企业登记证；
4.公司税卡；
5.OSS等文件；
6.法人税卡；
7.营业执照；
8.地址证明。</t>
  </si>
  <si>
    <t>公司注册-PT PMDN(内资公司)（雅加达+唐格朗）</t>
  </si>
  <si>
    <t>CPMDN</t>
  </si>
  <si>
    <t>1.法人(Director)姓名及KTP&amp;NPWP；
2.监事(Commissioner)姓名及KTP&amp;NPWP；
3.公司名称（PT.）2—3个单词（英文、印尼文均可）；
4.公司经营范围；（我们来提供确认）
5.股东比例；
6.注册资金：100jt以上 
7.雅加达注册地址及租赁合同扫描件，如果使用虚拟地址则可不提供；</t>
  </si>
  <si>
    <t>公司注册-PMA(外资公司)（外岛）</t>
  </si>
  <si>
    <t>公司注册-PT PMDN(内资公司)（外岛）</t>
  </si>
  <si>
    <t>公司虚拟地址/年（NEO）</t>
  </si>
  <si>
    <t>VO_normal</t>
  </si>
  <si>
    <t>Tanjung Duren，Jakarta Barat 商业地址</t>
  </si>
  <si>
    <t>随开随用</t>
  </si>
  <si>
    <t>提供信件代收，使用会议室30小时(如果有税务部门抽查，可用)</t>
  </si>
  <si>
    <t>公司虚拟地址/年(APL)</t>
  </si>
  <si>
    <t>VO_APL</t>
  </si>
  <si>
    <t>SOHO CAPITAL 虚拟地址</t>
  </si>
  <si>
    <t>斑兔茶楼办公地址：6000元/季度</t>
  </si>
  <si>
    <t>唐格朗仓库地址：8000元/年</t>
  </si>
  <si>
    <t>PMDN本地公司法人代持服务/月/人</t>
  </si>
  <si>
    <t>CPMDN_Orang</t>
  </si>
  <si>
    <t>提供代持人员KTP、NPWP、配合相关签字</t>
  </si>
  <si>
    <t>激活生产KBLI代码/个</t>
  </si>
  <si>
    <t>公司变更(PMA)</t>
  </si>
  <si>
    <t>CPMA_Update</t>
  </si>
  <si>
    <t>公司全套资料</t>
  </si>
  <si>
    <t>------经营范围(KBLI)变更</t>
  </si>
  <si>
    <t>------股东人员变更</t>
  </si>
  <si>
    <t>------股东股本变更</t>
  </si>
  <si>
    <t>------变更注册地址</t>
  </si>
  <si>
    <t>公司变更(PMDN)</t>
  </si>
  <si>
    <t>CPMDN_Update</t>
  </si>
  <si>
    <t>个人银行协助开户</t>
  </si>
  <si>
    <t>PBank_normal</t>
  </si>
  <si>
    <t>护照原件+Kitas+NPWP+居住地址证明(居住公寓提供)</t>
  </si>
  <si>
    <t>2工作日</t>
  </si>
  <si>
    <t>银行对公户协助开户(普通)</t>
  </si>
  <si>
    <t>CBank_normal</t>
  </si>
  <si>
    <t>全套公司资料（如果外资公司法人一定要持有Kitas）</t>
  </si>
  <si>
    <t>7工作日</t>
  </si>
  <si>
    <t>专人陪同开设企业对公账户</t>
  </si>
  <si>
    <t>银行对公户协助开户(特殊)</t>
  </si>
  <si>
    <t>CBank_Special</t>
  </si>
  <si>
    <t>护照首页照片及Kitas</t>
  </si>
  <si>
    <t>由于KBLI经营范围未激活问题，想开设BCA银行对公户账户，或者法人无法到场，无Kitas办理BNC公户</t>
  </si>
  <si>
    <t>有ITAS没有个人税卡开中国银行对公户</t>
  </si>
  <si>
    <t>暂无ITAS开中国银行对公户（只能收款，不能付款）</t>
  </si>
  <si>
    <t>没有KITAS开UOB对公户（无需到场）</t>
  </si>
  <si>
    <t>ICBC_Special</t>
  </si>
  <si>
    <t>ICBC无长期签证开户逻辑：
1、提供公司的Akta(公司章程) NIB SK ppkr
2、填写ICBC的开户表格(有指引)
3、确认开户币种（印尼盾、美金、人民币）
4、提供办公室照片，法人电话（如果法人不在印尼，建议提供代接人员电话，后期送U盾也会联系这个电话），邮箱 用于接收账户信息；
5、ICBC印尼工作人员电话与法人沟通确认开户事宜；
6、配送U盾，根据使用指引，邮箱中的账户密码，完成网银登录</t>
  </si>
  <si>
    <t>开通公司社保账户</t>
  </si>
  <si>
    <t>注册个人社保卡</t>
  </si>
  <si>
    <t>注册个人医保卡</t>
  </si>
  <si>
    <t>代缴员工社保</t>
  </si>
  <si>
    <t>注册个人税卡</t>
  </si>
  <si>
    <t>TaxService_税务服务</t>
  </si>
  <si>
    <t>NPWP_personal</t>
  </si>
  <si>
    <t>全套公司资料</t>
  </si>
  <si>
    <r>
      <rPr>
        <sz val="10"/>
        <color rgb="FF000000"/>
        <rFont val="Calibri"/>
        <charset val="134"/>
      </rPr>
      <t xml:space="preserve">1. 护照 
2. KITAS  
3. 婚姻状况 
4. 结婚证(若已婚，如果有小孩，请提供未成年小孩个数)  
5. 印尼手机号码
6. 邮箱地址
7. 月工资(印尼盾)
8. 工作证明
</t>
    </r>
    <r>
      <rPr>
        <b/>
        <sz val="10"/>
        <color rgb="FF000000"/>
        <rFont val="Calibri"/>
        <charset val="134"/>
      </rPr>
      <t xml:space="preserve">如果是女性补充如下材料：
</t>
    </r>
    <r>
      <rPr>
        <sz val="10"/>
        <color rgb="FF000000"/>
        <rFont val="Calibri"/>
        <charset val="134"/>
      </rPr>
      <t xml:space="preserve">a. 婚姻状况; 
若已婚请补充:
b. 结婚证  
c. 老公的护照 
d. 老公的工作情况 </t>
    </r>
  </si>
  <si>
    <t>补办个人税卡</t>
  </si>
  <si>
    <t>停用个人税卡 (NE NPWP)</t>
  </si>
  <si>
    <t>NPWP_personal_delete</t>
  </si>
  <si>
    <t>1. 证明书
2. 其他能证明没收入</t>
  </si>
  <si>
    <t>注册企业税卡</t>
  </si>
  <si>
    <t>NPWP_company</t>
  </si>
  <si>
    <t>公司全套资料、OSS账户、DJP Online账户</t>
  </si>
  <si>
    <t xml:space="preserve">1. 公司章程和变更+SK
2. NIB
3. 所有法人的身份证（印尼人）、KITAS &amp; 护照 （外国人）、税卡
</t>
  </si>
  <si>
    <t>补办公司税卡</t>
  </si>
  <si>
    <t>注销企业税卡</t>
  </si>
  <si>
    <t>NPWP_company_delete</t>
  </si>
  <si>
    <t>1. 所有公司解散文件</t>
  </si>
  <si>
    <t>注册个人EFIN(纳税人)识别号</t>
  </si>
  <si>
    <t>EFIN</t>
  </si>
  <si>
    <t>注册公司EFIN(纳税人)识别号</t>
  </si>
  <si>
    <t>办理公司税务电子证书Certificata Electronic</t>
  </si>
  <si>
    <t>个人所得税年度申报</t>
  </si>
  <si>
    <t>Tax_personal</t>
  </si>
  <si>
    <t>1.在印尼持有个人税卡（NPWP）的外籍人士，每年都必须执行报税义务。
2.公司一般每个月都会替员工和董事代扣薪资和进行报税，但是个人年报需要由本人进行申报。</t>
  </si>
  <si>
    <t>外国人：
1.  1721 表格/代扣税证明
2. 其他收入信息/资料
3. 今年1月1日的婚姻状况和几个未成年的小孩
4. 每个银行账户的12月31日的余额
5. 每个银行信用卡的12月31日账单
6. 负债 个人/银行贷款
7.  资产（物资购买信息)
8. DJP ONLINE 账号ID和密码
印尼人：
1.  1721 表格/代扣税证明
2. 其他收入信息/资料
3. 今年1月1日的婚姻状况和几个未成年的小孩
4. 每个银行账户的12月31日的余额
5. 每个银行信用卡的12月31日账单
6. 负债 个人/银行贷款
7.  资产（物资购买信息)
8. DJP ONLINE 账号ID和密码</t>
  </si>
  <si>
    <t>企业报税0申报/月</t>
  </si>
  <si>
    <t>Tax_company_month_zero</t>
  </si>
  <si>
    <t>企业记账报税/月</t>
  </si>
  <si>
    <t>Tax_company_month_real</t>
  </si>
  <si>
    <t>如果有实际经营 根据公司业务量实际产生的记账报税工作量进行定价</t>
  </si>
  <si>
    <t>------企业代扣代缴所得税申报</t>
  </si>
  <si>
    <t>1. 按照模版提供公司日记账流水，按需提供交易发票/收据/扣税凭证/合同/供应商的税卡
2.公司NPWP和DJP online账户，同时确保已经拥有了税务电子证明
3. 支付的银行水单
4. 公司NIB
5. 公司章程和变更+SK
6. 营业证书</t>
  </si>
  <si>
    <t>1.仅包含月度代扣代缴所得税申报，不包含年度所得税申报
2.支付要在次月10号前完成，申报需在次月20号完成，申报完成报告会以邮件方式发送结果。</t>
  </si>
  <si>
    <t>------企业员工所得税申报</t>
  </si>
  <si>
    <t>1. 按照模版提供员工工资表
2.10号之前根据ID billing 进行支付</t>
  </si>
  <si>
    <t>1. 员工工资表
2. BPJS KESEHATAN 列表 和清单
3. BPJS KETENAGAKERJAAN 列表 和清单</t>
  </si>
  <si>
    <t>------企业增值税申报</t>
  </si>
  <si>
    <t>1.按照模版提供公司发票和税票明细汇总
2.涉及到进出口的，需要提供进出口保单PIB/PEB和合同
3.支付的银行水单</t>
  </si>
  <si>
    <t>次月30号之前完成支付和申报</t>
  </si>
  <si>
    <t>------企业记账</t>
  </si>
  <si>
    <t>1. 按照模版提供公司日记账流水，按需提供交易发票/收据/扣税凭证/合同
2.公司NPWP和DJP online账户，同时确保已经拥有了税务电子证书
3. 供应商的税卡
4. 公司NIB
5. 公司章程和变更+SK
6. 营业证书
7.实际注资情况的历史沿革</t>
  </si>
  <si>
    <t>1.需每周提供公司日记账，以便及时入账。
2.所需材料需在每月1号前发出给我方，对应的财务报表会于次月15号之前以邮箱方式发出。如果所需资料提供延后，报表出具时间会相应延后。</t>
  </si>
  <si>
    <t>印尼投资活动报告申报 (LKPM )/季度</t>
  </si>
  <si>
    <t>LPKM</t>
  </si>
  <si>
    <t>1. 企业投资活动报告（LKPM）是投资部 BKPM 要求所有在印尼境内的外资公司在每季度对公司的现况报告。申报 LKPM 时，需要注意财务报表的信息，尤其是资本的部分。
2. LKPM 需要在每个季度申报。
3. 每个投资企业都必须申报企业投资活动报告 LKPM 并将其提交给投资部。对于未按报告期提交 LKPM 的企业，投资部将向企业发出警告信，最差情况可能会受到取消营业执照的处罚。</t>
  </si>
  <si>
    <t xml:space="preserve">1. OSS ID 和密码
2. 工资表明细／员工信息　（几个印尼员工，几个外籍员工；分析几个男员工，几个女员工）
3. 公司章程＋SK，包括更新版
4. 全部 NIB
5. 法人和股东的资料　（护照,KITAS/KITAB,税卡，身份证）
6. 财务报表　（损益表，资产负债表，日记账，现金流量表, 财务报告附注)
</t>
  </si>
  <si>
    <t xml:space="preserve"> BPJS KETENAGAKERJAAN ( 社保） BPJS KESEHATAN (医保） </t>
  </si>
  <si>
    <t>企业所得税申报/年</t>
  </si>
  <si>
    <t>Tax_company_year</t>
  </si>
  <si>
    <t>每年1月-4月申报</t>
  </si>
  <si>
    <t>25工作日</t>
  </si>
  <si>
    <t xml:space="preserve">1. DJP ONLINE 账号和密码
2. 公司特殊关系明细 和证明
3. 公司章程+变更，NIB
4. 股东和法人身份证，护照，ＫＩＴＡＳ，税卡
5. 企业损益表
6. 企业资产负债表
7. 企业资本变更表
8. 财务报表审计报告
9. 余额表
10. 日记账
11. 工资表+BPJS Kesehatan 健保 + BPJS Ketenagakerjaan 劳保/社保
12. PPN , PPH 列单和清单
13. 进出口申报和缴税单
14. 增值税申报表 SPT PPN 1月到12月
15. 代扣代缴 PPH 申报表 1月到12月
16. 银行对账单
17. 固定资产和折旧明细表
</t>
  </si>
  <si>
    <t>升级为一般纳税人( PKP )</t>
  </si>
  <si>
    <t>PKP</t>
  </si>
  <si>
    <t>公司全套资料、确认注册地址可进行税务局人员上门审查</t>
  </si>
  <si>
    <t>进口许可证API-U</t>
  </si>
  <si>
    <t>LicenseService_资质注册服务</t>
  </si>
  <si>
    <t>API_U</t>
  </si>
  <si>
    <t>进口许可证API-P</t>
  </si>
  <si>
    <t>API_P</t>
  </si>
  <si>
    <t>网络营销许可证PSE(WEB)</t>
  </si>
  <si>
    <t>PSE(WEB)</t>
  </si>
  <si>
    <t>1.电子系统操作的一般描述，包括
(1)电子系统名称
(2)电子系统部门(Sektor )
(3)统-资源定位器(URL)网站
(4)域名系统(Domain Name System)和/或 IP 地
址
(5)商业模式说明
(6)电子系统功能和电子系统业务流程的简单说明(7)处理的个人数据信息
(8)有关电子系统和电子数据的管理、处理和/或存储位置，地
址的信息
2.国外私有范围 PSE 信息
3.公司董事，监事的身份证或护照扫描件
4.股东的身份证或护照(如果是个人)，股东的章程AoA 和营
业执照 BL(如果是公司)印尼的客户(用户)数量6.源自印尼的交易价值
公司文件
1.公司章程及变更 Akta dan Perubahan(如有)2.司法部批文及变更 SK dan Perubahan(如有)3.税卡和税务登记证 NPWP &amp; SKT4.商业登记证 NIB</t>
  </si>
  <si>
    <t>9工作日</t>
  </si>
  <si>
    <t>网络营销许可证PSE(APP)</t>
  </si>
  <si>
    <t>PSE(APP)</t>
  </si>
  <si>
    <t>KBLI:63122 63121</t>
  </si>
  <si>
    <t>15个工作日</t>
  </si>
  <si>
    <t>电子系统交易商业许可证SIUPMSE(APP+WEB)</t>
  </si>
  <si>
    <t>SIUPMSE</t>
  </si>
  <si>
    <t>KBLI:63122</t>
  </si>
  <si>
    <t>2个月</t>
  </si>
  <si>
    <t>呼叫中心服务许可证</t>
  </si>
  <si>
    <t xml:space="preserve">CALL CENTER </t>
  </si>
  <si>
    <t>KBLI:82200</t>
  </si>
  <si>
    <t>6-8个月</t>
  </si>
  <si>
    <t>------CALL CENTER LICENSE</t>
  </si>
  <si>
    <t>呼叫中心</t>
  </si>
  <si>
    <t>------PDP</t>
  </si>
  <si>
    <t>公司系统信息备案</t>
  </si>
  <si>
    <t>------ULO</t>
  </si>
  <si>
    <t>卫生许可证SLHS（PAM/PAMDN）( 提供餐厅地址、食品和饮料的菜单详细和成分 1店长+5个厨师身份证  清真专员 )餐厅/门店</t>
  </si>
  <si>
    <t>具体价格需要根据菜单的数量来判断实验室测试的成本</t>
  </si>
  <si>
    <t>清真认证HALAL/餐厅门店</t>
  </si>
  <si>
    <t>HALAL</t>
  </si>
  <si>
    <t xml:space="preserve">KBLI:56101 </t>
  </si>
  <si>
    <t>低度酒水许可证SKPL-A（自营餐厅）</t>
  </si>
  <si>
    <t>SKPL-A</t>
  </si>
  <si>
    <t>公司注册资本5M以上 KBLI:56101  46333</t>
  </si>
  <si>
    <t>35个工作日</t>
  </si>
  <si>
    <t>SKPL-C</t>
  </si>
  <si>
    <t>卫生许可证（PAM/PAMDN）供应商</t>
  </si>
  <si>
    <t>低度酒水许可证SKPL-A（供应商）</t>
  </si>
  <si>
    <t>清真认证HALAL（商品）</t>
  </si>
  <si>
    <t>ISO 9001:2015 IABCB</t>
  </si>
  <si>
    <t xml:space="preserve">ISO 9001: IAS IAF </t>
  </si>
  <si>
    <t>ISO 14001:2015 IABCB</t>
  </si>
  <si>
    <t>⁠ISO 14001:IAS IAF</t>
  </si>
  <si>
    <t>SBU</t>
  </si>
  <si>
    <t>------BG003</t>
  </si>
  <si>
    <t>KBLI:43013</t>
  </si>
  <si>
    <t>------BS001</t>
  </si>
  <si>
    <t>KBLI:42101</t>
  </si>
  <si>
    <t>------BS007</t>
  </si>
  <si>
    <t>KBLI:42204</t>
  </si>
  <si>
    <t>------IN007</t>
  </si>
  <si>
    <t>KBLI:43221</t>
  </si>
  <si>
    <t>IUOPK 煤运输和销售专用许可证</t>
  </si>
  <si>
    <t xml:space="preserve">MODI + MVP </t>
  </si>
  <si>
    <t>ET (Eksportir Terdaftar) 出口许可证费用</t>
  </si>
  <si>
    <t>商标注册申请 （/类/个）</t>
  </si>
  <si>
    <t>Trademark</t>
  </si>
  <si>
    <t>填写商标注册信息表</t>
  </si>
  <si>
    <t>商标转让申请 （/类/个）</t>
  </si>
  <si>
    <t>注册印尼内资PMDN建筑公司：
BG003 - 41013 工业建筑施工 (k)级
注册资本 ：小规模 2,5M
41013 - 工业建筑施工 【BG003】
Sewa 租赁人工 2 Pax            13.000.000
SKK 工程师证 项目经理 6级    1.600.000
SKK 工程师证 5级                  1.400.000
KTA 建筑学会证                    2.000.000
SBUJK证 BG003 （K）             800.000
合计：                                18,800,000</t>
  </si>
  <si>
    <t>ISO 9001   : 3,3 JT
ISO 14001 : 3,3 JT
ISO 37001 : 22 JT</t>
  </si>
  <si>
    <t>落地签调价策略</t>
  </si>
  <si>
    <t>落地签新办新价</t>
  </si>
  <si>
    <t>续签比例</t>
  </si>
  <si>
    <t>落地签续签原价</t>
  </si>
  <si>
    <t>新办个数/月</t>
  </si>
  <si>
    <t>落地签续签新价</t>
  </si>
  <si>
    <t>调价后新办个数/月</t>
  </si>
  <si>
    <t>单个落地签新办原有利润</t>
  </si>
  <si>
    <t>原有落地签新月利润</t>
  </si>
  <si>
    <t>原有落地签续签利润</t>
  </si>
  <si>
    <t>新办降价后落地签续签利润</t>
  </si>
  <si>
    <t>商务签渠道调价策略</t>
  </si>
  <si>
    <t>商务签直客调价策略</t>
  </si>
  <si>
    <t>商务签211新办成本</t>
  </si>
  <si>
    <t>商务签211新办原价</t>
  </si>
  <si>
    <t>商务签211新办最新价格</t>
  </si>
  <si>
    <t>商务签211续签原价</t>
  </si>
  <si>
    <t>商务签211续签最新新价</t>
  </si>
  <si>
    <r>
      <rPr>
        <sz val="10"/>
        <color theme="1"/>
        <rFont val="Times New Roman"/>
        <charset val="134"/>
      </rPr>
      <t>原有</t>
    </r>
    <r>
      <rPr>
        <b/>
        <sz val="10"/>
        <color theme="1"/>
        <rFont val="Times New Roman"/>
        <charset val="134"/>
      </rPr>
      <t>单个</t>
    </r>
    <r>
      <rPr>
        <sz val="10"/>
        <color theme="1"/>
        <rFont val="Times New Roman"/>
        <charset val="134"/>
      </rPr>
      <t>商务签211新办利润</t>
    </r>
  </si>
  <si>
    <t>原有商务签211新办月利润</t>
  </si>
  <si>
    <t>原有商务签211续签利润</t>
  </si>
  <si>
    <t>降价后商务签211新办利润</t>
  </si>
  <si>
    <t>新办降价后商务签211续签利润</t>
  </si>
  <si>
    <t>C312【C312】工作签</t>
  </si>
  <si>
    <t>转签【不出境】</t>
  </si>
  <si>
    <t>人力部费用</t>
  </si>
  <si>
    <t>PNBP</t>
  </si>
  <si>
    <t>移民局费用</t>
  </si>
  <si>
    <t>总共</t>
  </si>
  <si>
    <t>新办工作签证</t>
  </si>
  <si>
    <t>加费</t>
  </si>
  <si>
    <t>人力部网站账户用户名和密码</t>
  </si>
  <si>
    <t>义务报告就业</t>
  </si>
  <si>
    <t xml:space="preserve">  PT.SHAQUIL MAKMUR KARYA  公司注册及签证业务报价单</t>
  </si>
  <si>
    <t>企业服务类</t>
  </si>
  <si>
    <t>业务类型</t>
  </si>
  <si>
    <t>价格（RP）1条=100万印尼卢比</t>
  </si>
  <si>
    <t>所需的文件</t>
  </si>
  <si>
    <t>办理时间</t>
  </si>
  <si>
    <t>注册公司</t>
  </si>
  <si>
    <t>纯外资公司16条/本地公司14条</t>
  </si>
  <si>
    <t>身份信息，租赁合同等</t>
  </si>
  <si>
    <t>注册商标</t>
  </si>
  <si>
    <t>6条一个/特殊另算</t>
  </si>
  <si>
    <t>担保公司全套材料</t>
  </si>
  <si>
    <t>15工作日</t>
  </si>
  <si>
    <t>公司注册地址挂靠</t>
  </si>
  <si>
    <t>一年6条</t>
  </si>
  <si>
    <t>注册相关资料</t>
  </si>
  <si>
    <t>工作签/投资签公司挂靠</t>
  </si>
  <si>
    <t>一年6条投资签一次性收2年</t>
  </si>
  <si>
    <t>雅加达mandiri银行开户</t>
  </si>
  <si>
    <t>6.3条/次</t>
  </si>
  <si>
    <t>代理报税</t>
  </si>
  <si>
    <t>月税每月1.5条/年税一次5条</t>
  </si>
  <si>
    <t>相关全部资料</t>
  </si>
  <si>
    <t>个人服务类</t>
  </si>
  <si>
    <t>211商务签新办和转签</t>
  </si>
  <si>
    <t>4.5条</t>
  </si>
  <si>
    <t>护照扫描件和疫苗证扫描件，照片</t>
  </si>
  <si>
    <t>3-5工作日</t>
  </si>
  <si>
    <t>机场内VIP接关</t>
  </si>
  <si>
    <t>1条</t>
  </si>
  <si>
    <t>落地签另加500K，特殊接关价格另算</t>
  </si>
  <si>
    <t>提前2天预约</t>
  </si>
  <si>
    <t>落地签延期</t>
  </si>
  <si>
    <t>1.5条</t>
  </si>
  <si>
    <t>护照原件</t>
  </si>
  <si>
    <t>落地签延期免拍照</t>
  </si>
  <si>
    <t>3.5条</t>
  </si>
  <si>
    <t>211商务签延期拍照</t>
  </si>
  <si>
    <t>护照原件和电子签</t>
  </si>
  <si>
    <t>211商务签延期免拍照</t>
  </si>
  <si>
    <t>5.5条</t>
  </si>
  <si>
    <t>延期加急</t>
  </si>
  <si>
    <t>0.5条</t>
  </si>
  <si>
    <t>商务签和落地签延期</t>
  </si>
  <si>
    <t>1-2工作日</t>
  </si>
  <si>
    <t>312工作签</t>
  </si>
  <si>
    <t>1200 USD政府税 + 15条</t>
  </si>
  <si>
    <t>20工作日</t>
  </si>
  <si>
    <t>314两年投资签</t>
  </si>
  <si>
    <t>16条</t>
  </si>
  <si>
    <t>317一年家属签(陪伴签）</t>
  </si>
  <si>
    <t>13条</t>
  </si>
  <si>
    <t>公司材料和担保人材料</t>
  </si>
  <si>
    <t>签证逾期处理</t>
  </si>
  <si>
    <t>按逾期时间计算每个月最低10条</t>
  </si>
  <si>
    <t>移民局捞人</t>
  </si>
  <si>
    <t>需要看具体所犯的事件协商</t>
  </si>
  <si>
    <t>海关黑名单消除</t>
  </si>
  <si>
    <t>最低70条起</t>
  </si>
  <si>
    <t>以上报价最终解释权归我方所有！关于办理时效，如遇到法定节假日或者政府问题则顺延。</t>
  </si>
  <si>
    <r>
      <rPr>
        <b/>
        <sz val="9"/>
        <color rgb="FF000000"/>
        <rFont val="Noto Sans CJK HK"/>
        <charset val="134"/>
      </rPr>
      <t xml:space="preserve">印尼境内 </t>
    </r>
    <r>
      <rPr>
        <b/>
        <sz val="9"/>
        <color rgb="FF000000"/>
        <rFont val="Times New Roman"/>
        <charset val="134"/>
      </rPr>
      <t>/ Dalam Negeri</t>
    </r>
  </si>
  <si>
    <r>
      <rPr>
        <b/>
        <sz val="9"/>
        <color rgb="FF000000"/>
        <rFont val="Times New Roman"/>
        <charset val="134"/>
      </rPr>
      <t xml:space="preserve">Harga Sesuai Imigrasi </t>
    </r>
    <r>
      <rPr>
        <b/>
        <sz val="9"/>
        <color rgb="FF000000"/>
        <rFont val="Noto Sans CJK HK"/>
        <charset val="134"/>
      </rPr>
      <t>每个移民的价格</t>
    </r>
  </si>
  <si>
    <t>序号</t>
  </si>
  <si>
    <r>
      <rPr>
        <b/>
        <sz val="9"/>
        <color rgb="FF000000"/>
        <rFont val="Noto Sans CJK HK"/>
        <charset val="134"/>
      </rPr>
      <t xml:space="preserve">项目 </t>
    </r>
    <r>
      <rPr>
        <b/>
        <sz val="9"/>
        <color rgb="FF000000"/>
        <rFont val="Times New Roman"/>
        <charset val="134"/>
      </rPr>
      <t>/ Proyek</t>
    </r>
  </si>
  <si>
    <r>
      <rPr>
        <b/>
        <sz val="9"/>
        <color rgb="FFFF0000"/>
        <rFont val="Noto Sans CJK HK"/>
        <charset val="134"/>
      </rPr>
      <t xml:space="preserve">价格
</t>
    </r>
    <r>
      <rPr>
        <b/>
        <sz val="9"/>
        <color rgb="FFFF0000"/>
        <rFont val="Times New Roman"/>
        <charset val="134"/>
      </rPr>
      <t>Harga</t>
    </r>
  </si>
  <si>
    <r>
      <rPr>
        <b/>
        <sz val="9"/>
        <color rgb="FFFF0000"/>
        <rFont val="Noto Sans CJK HK"/>
        <charset val="134"/>
      </rPr>
      <t xml:space="preserve">其他 </t>
    </r>
    <r>
      <rPr>
        <b/>
        <sz val="9"/>
        <color rgb="FFFF0000"/>
        <rFont val="Times New Roman"/>
        <charset val="134"/>
      </rPr>
      <t>Lainnya</t>
    </r>
  </si>
  <si>
    <r>
      <rPr>
        <b/>
        <sz val="9"/>
        <color rgb="FFFF0000"/>
        <rFont val="Noto Sans CJK HK"/>
        <charset val="134"/>
      </rPr>
      <t xml:space="preserve">北部移民 </t>
    </r>
    <r>
      <rPr>
        <b/>
        <sz val="9"/>
        <color rgb="FFFF0000"/>
        <rFont val="Times New Roman"/>
        <charset val="134"/>
      </rPr>
      <t>Utara</t>
    </r>
  </si>
  <si>
    <r>
      <rPr>
        <b/>
        <sz val="9"/>
        <color rgb="FFFF0000"/>
        <rFont val="Noto Sans CJK HK"/>
        <charset val="134"/>
      </rPr>
      <t xml:space="preserve">坦格朗
</t>
    </r>
    <r>
      <rPr>
        <b/>
        <sz val="9"/>
        <color rgb="FFFF0000"/>
        <rFont val="Times New Roman"/>
        <charset val="134"/>
      </rPr>
      <t>Tangerang</t>
    </r>
  </si>
  <si>
    <r>
      <rPr>
        <sz val="9"/>
        <color rgb="FFFF0000"/>
        <rFont val="Droid Sans Fallback"/>
        <charset val="134"/>
      </rPr>
      <t xml:space="preserve">西部移民 </t>
    </r>
    <r>
      <rPr>
        <b/>
        <sz val="9"/>
        <color rgb="FFFF0000"/>
        <rFont val="Times New Roman"/>
        <charset val="134"/>
      </rPr>
      <t>Barat</t>
    </r>
  </si>
  <si>
    <r>
      <rPr>
        <sz val="9"/>
        <color rgb="FFFF0000"/>
        <rFont val="Droid Sans Fallback"/>
        <charset val="134"/>
      </rPr>
      <t xml:space="preserve">机场移民
</t>
    </r>
    <r>
      <rPr>
        <b/>
        <sz val="9"/>
        <color rgb="FFFF0000"/>
        <rFont val="Times New Roman"/>
        <charset val="134"/>
      </rPr>
      <t>Soekarno hatta</t>
    </r>
  </si>
  <si>
    <r>
      <rPr>
        <sz val="9"/>
        <color rgb="FFFF0000"/>
        <rFont val="Droid Sans Fallback"/>
        <charset val="134"/>
      </rPr>
      <t xml:space="preserve">南部移民 </t>
    </r>
    <r>
      <rPr>
        <b/>
        <sz val="9"/>
        <color rgb="FFFF0000"/>
        <rFont val="Times New Roman"/>
        <charset val="134"/>
      </rPr>
      <t>Selatan</t>
    </r>
  </si>
  <si>
    <r>
      <rPr>
        <sz val="9"/>
        <color rgb="FFFF0000"/>
        <rFont val="Droid Sans Fallback"/>
        <charset val="134"/>
      </rPr>
      <t xml:space="preserve">中部移民 </t>
    </r>
    <r>
      <rPr>
        <b/>
        <sz val="9"/>
        <color rgb="FFFF0000"/>
        <rFont val="Times New Roman"/>
        <charset val="134"/>
      </rPr>
      <t>Pusat</t>
    </r>
  </si>
  <si>
    <r>
      <rPr>
        <b/>
        <sz val="9"/>
        <color rgb="FFFF0000"/>
        <rFont val="Times New Roman"/>
        <charset val="134"/>
      </rPr>
      <t>Serang</t>
    </r>
  </si>
  <si>
    <r>
      <rPr>
        <sz val="9"/>
        <color rgb="FF000000"/>
        <rFont val="Droid Sans Fallback"/>
        <charset val="134"/>
      </rPr>
      <t xml:space="preserve">一年工作签 </t>
    </r>
    <r>
      <rPr>
        <sz val="9"/>
        <color rgb="FF000000"/>
        <rFont val="Times New Roman"/>
        <charset val="134"/>
      </rPr>
      <t xml:space="preserve">/ E-Visa 211 - 312 Kitas Kerja 1 Tahun </t>
    </r>
    <r>
      <rPr>
        <b/>
        <sz val="9"/>
        <color rgb="FFFF0000"/>
        <rFont val="Noto Sans CJK HK"/>
        <charset val="134"/>
      </rPr>
      <t xml:space="preserve">（ </t>
    </r>
    <r>
      <rPr>
        <b/>
        <sz val="9"/>
        <color rgb="FFFF0000"/>
        <rFont val="Times New Roman"/>
        <charset val="134"/>
      </rPr>
      <t xml:space="preserve">211 </t>
    </r>
    <r>
      <rPr>
        <b/>
        <sz val="9"/>
        <color rgb="FFFF0000"/>
        <rFont val="Noto Sans CJK HK"/>
        <charset val="134"/>
      </rPr>
      <t xml:space="preserve">转 </t>
    </r>
    <r>
      <rPr>
        <b/>
        <sz val="9"/>
        <color rgb="FFFF0000"/>
        <rFont val="Times New Roman"/>
        <charset val="134"/>
      </rPr>
      <t xml:space="preserve">312 </t>
    </r>
    <r>
      <rPr>
        <b/>
        <sz val="9"/>
        <color rgb="FFFF0000"/>
        <rFont val="Noto Sans CJK HK"/>
        <charset val="134"/>
      </rPr>
      <t>工作签证 ）</t>
    </r>
  </si>
  <si>
    <r>
      <rPr>
        <b/>
        <sz val="9"/>
        <color theme="1"/>
        <rFont val="Times New Roman"/>
        <charset val="134"/>
      </rPr>
      <t>&gt;&gt;&gt;</t>
    </r>
  </si>
  <si>
    <r>
      <rPr>
        <sz val="9"/>
        <color rgb="FF000000"/>
        <rFont val="Times New Roman"/>
        <charset val="134"/>
      </rPr>
      <t>1200</t>
    </r>
    <r>
      <rPr>
        <sz val="9"/>
        <color rgb="FF000000"/>
        <rFont val="Droid Sans Fallback"/>
        <charset val="134"/>
      </rPr>
      <t>美金</t>
    </r>
    <r>
      <rPr>
        <sz val="9"/>
        <color rgb="FF000000"/>
        <rFont val="Times New Roman"/>
        <charset val="134"/>
      </rPr>
      <t>/USD</t>
    </r>
  </si>
  <si>
    <r>
      <rPr>
        <sz val="9"/>
        <color theme="1"/>
        <rFont val="Times New Roman"/>
        <charset val="134"/>
      </rPr>
      <t>Rp. 15.00.000</t>
    </r>
  </si>
  <si>
    <r>
      <rPr>
        <sz val="9"/>
        <color theme="1"/>
        <rFont val="Times New Roman"/>
        <charset val="134"/>
      </rPr>
      <t>Rp. 15.500.000</t>
    </r>
  </si>
  <si>
    <r>
      <rPr>
        <sz val="9"/>
        <color theme="1"/>
        <rFont val="Times New Roman"/>
        <charset val="134"/>
      </rPr>
      <t>Rp.15.500.000</t>
    </r>
  </si>
  <si>
    <r>
      <rPr>
        <sz val="9"/>
        <color theme="1"/>
        <rFont val="Times New Roman"/>
        <charset val="134"/>
      </rPr>
      <t>Rp. 15.000.000</t>
    </r>
  </si>
  <si>
    <r>
      <rPr>
        <sz val="9"/>
        <color theme="1"/>
        <rFont val="Times New Roman"/>
        <charset val="134"/>
      </rPr>
      <t>Rp. 16.000.000</t>
    </r>
  </si>
  <si>
    <r>
      <rPr>
        <b/>
        <sz val="9"/>
        <color rgb="FFFF0000"/>
        <rFont val="Noto Sans CJK HK"/>
        <charset val="134"/>
      </rPr>
      <t xml:space="preserve">延期一年工作签 </t>
    </r>
    <r>
      <rPr>
        <b/>
        <sz val="9"/>
        <color rgb="FFFF0000"/>
        <rFont val="Times New Roman"/>
        <charset val="134"/>
      </rPr>
      <t xml:space="preserve">312 </t>
    </r>
    <r>
      <rPr>
        <sz val="9"/>
        <color rgb="FF000000"/>
        <rFont val="Times New Roman"/>
        <charset val="134"/>
      </rPr>
      <t>/ Extend Kitas Kerja 1 Tahun</t>
    </r>
  </si>
  <si>
    <r>
      <rPr>
        <sz val="9"/>
        <color theme="1"/>
        <rFont val="Times New Roman"/>
        <charset val="134"/>
      </rPr>
      <t>Rp. 11.000.000</t>
    </r>
  </si>
  <si>
    <r>
      <rPr>
        <sz val="9"/>
        <color theme="1"/>
        <rFont val="Times New Roman"/>
        <charset val="134"/>
      </rPr>
      <t>Rp. 11.500.000</t>
    </r>
  </si>
  <si>
    <r>
      <rPr>
        <sz val="9"/>
        <color theme="1"/>
        <rFont val="Times New Roman"/>
        <charset val="134"/>
      </rPr>
      <t>Rp.11.500.000</t>
    </r>
  </si>
  <si>
    <r>
      <rPr>
        <sz val="9"/>
        <color theme="1"/>
        <rFont val="Times New Roman"/>
        <charset val="134"/>
      </rPr>
      <t>Rp. 12.000.000</t>
    </r>
  </si>
  <si>
    <r>
      <rPr>
        <sz val="9"/>
        <color rgb="FF000000"/>
        <rFont val="Droid Sans Fallback"/>
        <charset val="134"/>
      </rPr>
      <t xml:space="preserve">商务签转两年投资签 </t>
    </r>
    <r>
      <rPr>
        <sz val="9"/>
        <color rgb="FF000000"/>
        <rFont val="Times New Roman"/>
        <charset val="134"/>
      </rPr>
      <t xml:space="preserve">/ E-Visa 211 - 314 Kitas Investor 2 Tahun </t>
    </r>
    <r>
      <rPr>
        <b/>
        <sz val="9"/>
        <color rgb="FFFF0000"/>
        <rFont val="Times New Roman"/>
        <charset val="134"/>
      </rPr>
      <t xml:space="preserve">( 211 </t>
    </r>
    <r>
      <rPr>
        <b/>
        <sz val="9"/>
        <color rgb="FFFF0000"/>
        <rFont val="Noto Sans CJK HK"/>
        <charset val="134"/>
      </rPr>
      <t xml:space="preserve">转 </t>
    </r>
    <r>
      <rPr>
        <b/>
        <sz val="9"/>
        <color rgb="FFFF0000"/>
        <rFont val="Times New Roman"/>
        <charset val="134"/>
      </rPr>
      <t xml:space="preserve">314 </t>
    </r>
    <r>
      <rPr>
        <b/>
        <sz val="9"/>
        <color rgb="FFFF0000"/>
        <rFont val="Noto Sans CJK HK"/>
        <charset val="134"/>
      </rPr>
      <t>投资签证）</t>
    </r>
  </si>
  <si>
    <r>
      <rPr>
        <sz val="9"/>
        <color rgb="FF000000"/>
        <rFont val="Droid Sans Fallback"/>
        <charset val="134"/>
      </rPr>
      <t>投资部</t>
    </r>
    <r>
      <rPr>
        <sz val="9"/>
        <color rgb="FF000000"/>
        <rFont val="Times New Roman"/>
        <charset val="134"/>
      </rPr>
      <t>/Rekom Rp. 3.500.000</t>
    </r>
  </si>
  <si>
    <r>
      <rPr>
        <b/>
        <sz val="9"/>
        <color rgb="FFFF0000"/>
        <rFont val="Noto Sans CJK HK"/>
        <charset val="134"/>
      </rPr>
      <t xml:space="preserve">延期两年投资签 </t>
    </r>
    <r>
      <rPr>
        <b/>
        <sz val="9"/>
        <color rgb="FFFF0000"/>
        <rFont val="Times New Roman"/>
        <charset val="134"/>
      </rPr>
      <t xml:space="preserve">314 </t>
    </r>
    <r>
      <rPr>
        <sz val="9"/>
        <color rgb="FF000000"/>
        <rFont val="Times New Roman"/>
        <charset val="134"/>
      </rPr>
      <t>/ Extend Kitas Investor 2 Tahun</t>
    </r>
  </si>
  <si>
    <r>
      <rPr>
        <sz val="9"/>
        <color theme="1"/>
        <rFont val="Times New Roman"/>
        <charset val="134"/>
      </rPr>
      <t>Rp. 12.500.000</t>
    </r>
  </si>
  <si>
    <r>
      <rPr>
        <sz val="9"/>
        <color rgb="FF000000"/>
        <rFont val="Droid Sans Fallback"/>
        <charset val="134"/>
      </rPr>
      <t xml:space="preserve">一年投资签 </t>
    </r>
    <r>
      <rPr>
        <sz val="9"/>
        <color rgb="FF000000"/>
        <rFont val="Times New Roman"/>
        <charset val="134"/>
      </rPr>
      <t xml:space="preserve">/ Kitas Investor 1 Tahun  </t>
    </r>
    <r>
      <rPr>
        <b/>
        <sz val="9"/>
        <color rgb="FFFF0000"/>
        <rFont val="Times New Roman"/>
        <charset val="134"/>
      </rPr>
      <t xml:space="preserve">( 211 </t>
    </r>
    <r>
      <rPr>
        <b/>
        <sz val="9"/>
        <color rgb="FFFF0000"/>
        <rFont val="Noto Sans CJK HK"/>
        <charset val="134"/>
      </rPr>
      <t xml:space="preserve">转 </t>
    </r>
    <r>
      <rPr>
        <b/>
        <sz val="9"/>
        <color rgb="FFFF0000"/>
        <rFont val="Times New Roman"/>
        <charset val="134"/>
      </rPr>
      <t xml:space="preserve">313  </t>
    </r>
    <r>
      <rPr>
        <b/>
        <sz val="9"/>
        <color rgb="FFFF0000"/>
        <rFont val="Noto Sans CJK HK"/>
        <charset val="134"/>
      </rPr>
      <t>一年投资签证）</t>
    </r>
  </si>
  <si>
    <r>
      <rPr>
        <sz val="9"/>
        <color theme="1"/>
        <rFont val="Times New Roman"/>
        <charset val="134"/>
      </rPr>
      <t>Rp. 13.000.000</t>
    </r>
  </si>
  <si>
    <r>
      <rPr>
        <sz val="9"/>
        <color rgb="FF000000"/>
        <rFont val="Droid Sans Fallback"/>
        <charset val="134"/>
      </rPr>
      <t xml:space="preserve">延期一年投资签 </t>
    </r>
    <r>
      <rPr>
        <sz val="9"/>
        <color rgb="FF000000"/>
        <rFont val="Times New Roman"/>
        <charset val="134"/>
      </rPr>
      <t>/ Extend Kitas Investor 1 Tahun + SKTT JKT</t>
    </r>
  </si>
  <si>
    <r>
      <rPr>
        <sz val="9"/>
        <color theme="1"/>
        <rFont val="Times New Roman"/>
        <charset val="134"/>
      </rPr>
      <t>Rp. 7.500.000</t>
    </r>
  </si>
  <si>
    <r>
      <rPr>
        <sz val="9"/>
        <color rgb="FF000000"/>
        <rFont val="Droid Sans Fallback"/>
        <charset val="134"/>
      </rPr>
      <t xml:space="preserve">家属签  </t>
    </r>
    <r>
      <rPr>
        <sz val="9"/>
        <color rgb="FF000000"/>
        <rFont val="Times New Roman"/>
        <charset val="134"/>
      </rPr>
      <t xml:space="preserve">Kitas Penyatuan Keluarga  </t>
    </r>
    <r>
      <rPr>
        <b/>
        <sz val="9"/>
        <color rgb="FFFF0000"/>
        <rFont val="Noto Sans CJK HK"/>
        <charset val="134"/>
      </rPr>
      <t xml:space="preserve">（ </t>
    </r>
    <r>
      <rPr>
        <b/>
        <sz val="9"/>
        <color rgb="FFFF0000"/>
        <rFont val="Times New Roman"/>
        <charset val="134"/>
      </rPr>
      <t xml:space="preserve">211 </t>
    </r>
    <r>
      <rPr>
        <b/>
        <sz val="9"/>
        <color rgb="FFFF0000"/>
        <rFont val="Noto Sans CJK HK"/>
        <charset val="134"/>
      </rPr>
      <t xml:space="preserve">转 </t>
    </r>
    <r>
      <rPr>
        <b/>
        <sz val="9"/>
        <color rgb="FFFF0000"/>
        <rFont val="Times New Roman"/>
        <charset val="134"/>
      </rPr>
      <t xml:space="preserve">317 </t>
    </r>
    <r>
      <rPr>
        <b/>
        <sz val="9"/>
        <color rgb="FFFF0000"/>
        <rFont val="Noto Sans CJK HK"/>
        <charset val="134"/>
      </rPr>
      <t>家属签证 ）</t>
    </r>
  </si>
  <si>
    <r>
      <rPr>
        <sz val="9"/>
        <color theme="1"/>
        <rFont val="Times New Roman"/>
        <charset val="134"/>
      </rPr>
      <t>Rp. 13.00.000</t>
    </r>
  </si>
  <si>
    <r>
      <rPr>
        <b/>
        <sz val="9"/>
        <color rgb="FFFF0000"/>
        <rFont val="Noto Sans CJK HK"/>
        <charset val="134"/>
      </rPr>
      <t xml:space="preserve">延期家属签证 </t>
    </r>
    <r>
      <rPr>
        <sz val="9"/>
        <color rgb="FF000000"/>
        <rFont val="Times New Roman"/>
        <charset val="134"/>
      </rPr>
      <t>Extend Kitas Penyatuan Keluarga</t>
    </r>
  </si>
  <si>
    <r>
      <rPr>
        <sz val="9"/>
        <color theme="1"/>
        <rFont val="Times New Roman"/>
        <charset val="134"/>
      </rPr>
      <t>Rp. 8.000.000</t>
    </r>
  </si>
  <si>
    <r>
      <rPr>
        <sz val="9"/>
        <color rgb="FF000000"/>
        <rFont val="Droid Sans Fallback"/>
        <charset val="134"/>
      </rPr>
      <t xml:space="preserve">延期商务签 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Droid Sans Fallback"/>
        <charset val="134"/>
      </rPr>
      <t>苏拉威西</t>
    </r>
    <r>
      <rPr>
        <sz val="9"/>
        <color rgb="FF000000"/>
        <rFont val="Times New Roman"/>
        <charset val="134"/>
      </rPr>
      <t>) / Extend Visa (Sulawesi)</t>
    </r>
  </si>
  <si>
    <r>
      <rPr>
        <sz val="9"/>
        <color theme="1"/>
        <rFont val="Times New Roman"/>
        <charset val="134"/>
      </rPr>
      <t>Rp. 3.500.000</t>
    </r>
  </si>
  <si>
    <r>
      <rPr>
        <sz val="9"/>
        <color rgb="FF000000"/>
        <rFont val="Times New Roman"/>
        <charset val="134"/>
      </rPr>
      <t xml:space="preserve">Untuk harga Kitas Luar Kota , Konfirm dulu Kota mana.
</t>
    </r>
    <r>
      <rPr>
        <sz val="9"/>
        <color rgb="FF000000"/>
        <rFont val="Droid Sans Fallback"/>
        <charset val="134"/>
      </rPr>
      <t>外岛的工作签证价格需要确认那个岛。</t>
    </r>
  </si>
  <si>
    <r>
      <rPr>
        <b/>
        <sz val="9"/>
        <color rgb="FFFF0000"/>
        <rFont val="Noto Sans CJK HK"/>
        <charset val="134"/>
      </rPr>
      <t>延期</t>
    </r>
    <r>
      <rPr>
        <b/>
        <sz val="9"/>
        <color rgb="FFFF0000"/>
        <rFont val="Times New Roman"/>
        <charset val="134"/>
      </rPr>
      <t>211</t>
    </r>
    <r>
      <rPr>
        <b/>
        <sz val="9"/>
        <color rgb="FFFF0000"/>
        <rFont val="Noto Sans CJK HK"/>
        <charset val="134"/>
      </rPr>
      <t xml:space="preserve">商务签 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Droid Sans Fallback"/>
        <charset val="134"/>
      </rPr>
      <t>雅加达</t>
    </r>
    <r>
      <rPr>
        <sz val="9"/>
        <color rgb="FF000000"/>
        <rFont val="Times New Roman"/>
        <charset val="134"/>
      </rPr>
      <t>) / Extend Visa (Jakarta)</t>
    </r>
  </si>
  <si>
    <r>
      <rPr>
        <sz val="9"/>
        <color theme="1"/>
        <rFont val="Times New Roman"/>
        <charset val="134"/>
      </rPr>
      <t>Rp. 3.300.000</t>
    </r>
  </si>
  <si>
    <r>
      <rPr>
        <sz val="9"/>
        <color rgb="FF000000"/>
        <rFont val="Times New Roman"/>
        <charset val="134"/>
      </rPr>
      <t xml:space="preserve">Rp. 5.000.000 ( </t>
    </r>
    <r>
      <rPr>
        <sz val="9"/>
        <color rgb="FF000000"/>
        <rFont val="Droid Sans Fallback"/>
        <charset val="134"/>
      </rPr>
      <t>不拍照 ）</t>
    </r>
  </si>
  <si>
    <r>
      <rPr>
        <sz val="9"/>
        <color rgb="FF000000"/>
        <rFont val="Droid Sans Fallback"/>
        <charset val="134"/>
      </rPr>
      <t xml:space="preserve">延期商务签 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Droid Sans Fallback"/>
        <charset val="134"/>
      </rPr>
      <t>泗水</t>
    </r>
    <r>
      <rPr>
        <sz val="9"/>
        <color rgb="FF000000"/>
        <rFont val="Times New Roman"/>
        <charset val="134"/>
      </rPr>
      <t>) / Extend Visa (Surabaya)</t>
    </r>
  </si>
  <si>
    <r>
      <rPr>
        <sz val="9"/>
        <color theme="1"/>
        <rFont val="Times New Roman"/>
        <charset val="134"/>
      </rPr>
      <t>Rp. 4.000.000</t>
    </r>
  </si>
  <si>
    <r>
      <rPr>
        <b/>
        <sz val="9"/>
        <color rgb="FFFF0000"/>
        <rFont val="Noto Sans CJK HK"/>
        <charset val="134"/>
      </rPr>
      <t xml:space="preserve">延期落地签 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Droid Sans Fallback"/>
        <charset val="134"/>
      </rPr>
      <t>雅加达</t>
    </r>
    <r>
      <rPr>
        <sz val="9"/>
        <color rgb="FF000000"/>
        <rFont val="Times New Roman"/>
        <charset val="134"/>
      </rPr>
      <t>) / Extend VOA (Jakarta)</t>
    </r>
  </si>
  <si>
    <r>
      <rPr>
        <sz val="9"/>
        <color theme="1"/>
        <rFont val="Times New Roman"/>
        <charset val="134"/>
      </rPr>
      <t>Rp. 1.300.000</t>
    </r>
  </si>
  <si>
    <r>
      <rPr>
        <sz val="9"/>
        <color rgb="FF000000"/>
        <rFont val="Times New Roman"/>
        <charset val="134"/>
      </rPr>
      <t xml:space="preserve">Rp. 3.300.000 ( </t>
    </r>
    <r>
      <rPr>
        <sz val="9"/>
        <color rgb="FF000000"/>
        <rFont val="Droid Sans Fallback"/>
        <charset val="134"/>
      </rPr>
      <t>不拍照 ）</t>
    </r>
  </si>
  <si>
    <r>
      <rPr>
        <b/>
        <sz val="9"/>
        <color rgb="FF000000"/>
        <rFont val="Noto Sans CJK HK"/>
        <charset val="134"/>
      </rPr>
      <t xml:space="preserve">印尼境外 </t>
    </r>
    <r>
      <rPr>
        <b/>
        <sz val="9"/>
        <color rgb="FF000000"/>
        <rFont val="Times New Roman"/>
        <charset val="134"/>
      </rPr>
      <t>/ Luar Negeri</t>
    </r>
  </si>
  <si>
    <r>
      <rPr>
        <b/>
        <sz val="9"/>
        <color rgb="FF000000"/>
        <rFont val="Noto Sans CJK HK"/>
        <charset val="134"/>
      </rPr>
      <t xml:space="preserve">价格
</t>
    </r>
    <r>
      <rPr>
        <b/>
        <sz val="9"/>
        <color rgb="FF000000"/>
        <rFont val="Times New Roman"/>
        <charset val="134"/>
      </rPr>
      <t>Harga</t>
    </r>
  </si>
  <si>
    <r>
      <rPr>
        <b/>
        <sz val="9"/>
        <color rgb="FF000000"/>
        <rFont val="Noto Sans CJK HK"/>
        <charset val="134"/>
      </rPr>
      <t xml:space="preserve">税
</t>
    </r>
    <r>
      <rPr>
        <b/>
        <sz val="9"/>
        <color rgb="FF000000"/>
        <rFont val="Times New Roman"/>
        <charset val="134"/>
      </rPr>
      <t>Pajak</t>
    </r>
  </si>
  <si>
    <r>
      <rPr>
        <b/>
        <sz val="9"/>
        <color rgb="FF000000"/>
        <rFont val="Noto Sans CJK HK"/>
        <charset val="134"/>
      </rPr>
      <t xml:space="preserve">电子签证
</t>
    </r>
    <r>
      <rPr>
        <b/>
        <sz val="9"/>
        <color rgb="FF000000"/>
        <rFont val="Times New Roman"/>
        <charset val="134"/>
      </rPr>
      <t>E-Visa</t>
    </r>
  </si>
  <si>
    <r>
      <rPr>
        <b/>
        <sz val="9"/>
        <color rgb="FF000000"/>
        <rFont val="Noto Sans CJK HK"/>
        <charset val="134"/>
      </rPr>
      <t xml:space="preserve">北部移民 </t>
    </r>
    <r>
      <rPr>
        <b/>
        <sz val="9"/>
        <color rgb="FF000000"/>
        <rFont val="Times New Roman"/>
        <charset val="134"/>
      </rPr>
      <t>Utara</t>
    </r>
  </si>
  <si>
    <r>
      <rPr>
        <b/>
        <sz val="9"/>
        <color rgb="FF000000"/>
        <rFont val="Noto Sans CJK HK"/>
        <charset val="134"/>
      </rPr>
      <t xml:space="preserve">坦格朗
</t>
    </r>
    <r>
      <rPr>
        <b/>
        <sz val="9"/>
        <color rgb="FF000000"/>
        <rFont val="Times New Roman"/>
        <charset val="134"/>
      </rPr>
      <t>Tangerang</t>
    </r>
  </si>
  <si>
    <r>
      <rPr>
        <sz val="9"/>
        <color rgb="FF000000"/>
        <rFont val="Droid Sans Fallback"/>
        <charset val="134"/>
      </rPr>
      <t xml:space="preserve">西部移民 </t>
    </r>
    <r>
      <rPr>
        <b/>
        <sz val="9"/>
        <color rgb="FF000000"/>
        <rFont val="Times New Roman"/>
        <charset val="134"/>
      </rPr>
      <t>Barat</t>
    </r>
  </si>
  <si>
    <r>
      <rPr>
        <sz val="9"/>
        <color rgb="FF000000"/>
        <rFont val="Droid Sans Fallback"/>
        <charset val="134"/>
      </rPr>
      <t xml:space="preserve">机场移民
</t>
    </r>
    <r>
      <rPr>
        <b/>
        <sz val="9"/>
        <color rgb="FF000000"/>
        <rFont val="Times New Roman"/>
        <charset val="134"/>
      </rPr>
      <t>Soekarno hatta</t>
    </r>
  </si>
  <si>
    <r>
      <rPr>
        <sz val="9"/>
        <color rgb="FF000000"/>
        <rFont val="Droid Sans Fallback"/>
        <charset val="134"/>
      </rPr>
      <t xml:space="preserve">南部移民 </t>
    </r>
    <r>
      <rPr>
        <b/>
        <sz val="9"/>
        <color rgb="FF000000"/>
        <rFont val="Times New Roman"/>
        <charset val="134"/>
      </rPr>
      <t>Selatan</t>
    </r>
  </si>
  <si>
    <r>
      <rPr>
        <sz val="9"/>
        <color rgb="FF000000"/>
        <rFont val="Droid Sans Fallback"/>
        <charset val="134"/>
      </rPr>
      <t xml:space="preserve">中部移民 </t>
    </r>
    <r>
      <rPr>
        <b/>
        <sz val="9"/>
        <color rgb="FF000000"/>
        <rFont val="Times New Roman"/>
        <charset val="134"/>
      </rPr>
      <t>Pusat</t>
    </r>
  </si>
  <si>
    <r>
      <rPr>
        <b/>
        <sz val="9"/>
        <color theme="1"/>
        <rFont val="Times New Roman"/>
        <charset val="134"/>
      </rPr>
      <t>Serang</t>
    </r>
  </si>
  <si>
    <r>
      <rPr>
        <b/>
        <sz val="9"/>
        <color rgb="FFFF0000"/>
        <rFont val="Noto Sans CJK HK"/>
        <charset val="134"/>
      </rPr>
      <t xml:space="preserve">一年工作签 </t>
    </r>
    <r>
      <rPr>
        <b/>
        <sz val="9"/>
        <color rgb="FFFF0000"/>
        <rFont val="Times New Roman"/>
        <charset val="134"/>
      </rPr>
      <t>312 LN</t>
    </r>
    <r>
      <rPr>
        <sz val="9"/>
        <color rgb="FF000000"/>
        <rFont val="Times New Roman"/>
        <charset val="134"/>
      </rPr>
      <t>/ Kitas Kerja 1 Tahun</t>
    </r>
  </si>
  <si>
    <r>
      <rPr>
        <sz val="9"/>
        <color rgb="FF000000"/>
        <rFont val="Times New Roman"/>
        <charset val="134"/>
      </rPr>
      <t>150</t>
    </r>
    <r>
      <rPr>
        <sz val="9"/>
        <color rgb="FF000000"/>
        <rFont val="Droid Sans Fallback"/>
        <charset val="134"/>
      </rPr>
      <t>美金</t>
    </r>
    <r>
      <rPr>
        <sz val="9"/>
        <color rgb="FF000000"/>
        <rFont val="Times New Roman"/>
        <charset val="134"/>
      </rPr>
      <t>/USD</t>
    </r>
  </si>
  <si>
    <r>
      <rPr>
        <b/>
        <sz val="9"/>
        <color rgb="FFFF0000"/>
        <rFont val="Noto Sans CJK HK"/>
        <charset val="134"/>
      </rPr>
      <t xml:space="preserve">两年投资签 </t>
    </r>
    <r>
      <rPr>
        <b/>
        <sz val="9"/>
        <color rgb="FFFF0000"/>
        <rFont val="Times New Roman"/>
        <charset val="134"/>
      </rPr>
      <t xml:space="preserve">314 LN </t>
    </r>
    <r>
      <rPr>
        <sz val="9"/>
        <color rgb="FF000000"/>
        <rFont val="Times New Roman"/>
        <charset val="134"/>
      </rPr>
      <t>/ Kitas Investor 2 Tahun</t>
    </r>
  </si>
  <si>
    <r>
      <rPr>
        <sz val="9"/>
        <color theme="1"/>
        <rFont val="Times New Roman"/>
        <charset val="134"/>
      </rPr>
      <t>-</t>
    </r>
  </si>
  <si>
    <r>
      <rPr>
        <sz val="9"/>
        <color theme="1"/>
        <rFont val="Times New Roman"/>
        <charset val="134"/>
      </rPr>
      <t>Rp. 10.500.000</t>
    </r>
  </si>
  <si>
    <r>
      <rPr>
        <b/>
        <sz val="9"/>
        <color rgb="FFFF0000"/>
        <rFont val="Noto Sans CJK HK"/>
        <charset val="134"/>
      </rPr>
      <t xml:space="preserve">一年投资签 </t>
    </r>
    <r>
      <rPr>
        <b/>
        <sz val="9"/>
        <color rgb="FFFF0000"/>
        <rFont val="Times New Roman"/>
        <charset val="134"/>
      </rPr>
      <t xml:space="preserve">313 LN </t>
    </r>
    <r>
      <rPr>
        <sz val="9"/>
        <color rgb="FF000000"/>
        <rFont val="Times New Roman"/>
        <charset val="134"/>
      </rPr>
      <t>/ Kitas Investor 1 Tahun</t>
    </r>
  </si>
  <si>
    <r>
      <rPr>
        <sz val="9"/>
        <color theme="1"/>
        <rFont val="Times New Roman"/>
        <charset val="134"/>
      </rPr>
      <t>Rp. 8.500.000</t>
    </r>
  </si>
  <si>
    <r>
      <rPr>
        <b/>
        <sz val="9"/>
        <color rgb="FFFF0000"/>
        <rFont val="Noto Sans CJK HK"/>
        <charset val="134"/>
      </rPr>
      <t xml:space="preserve">家属签 </t>
    </r>
    <r>
      <rPr>
        <b/>
        <sz val="9"/>
        <color rgb="FFFF0000"/>
        <rFont val="Times New Roman"/>
        <charset val="134"/>
      </rPr>
      <t xml:space="preserve">317LN </t>
    </r>
    <r>
      <rPr>
        <sz val="9"/>
        <color rgb="FF000000"/>
        <rFont val="Times New Roman"/>
        <charset val="134"/>
      </rPr>
      <t>/ Kitas Penyatuan Keluarga</t>
    </r>
  </si>
  <si>
    <r>
      <rPr>
        <sz val="9"/>
        <color theme="1"/>
        <rFont val="Times New Roman"/>
        <charset val="134"/>
      </rPr>
      <t>Rp. 9.000.000</t>
    </r>
  </si>
  <si>
    <r>
      <rPr>
        <b/>
        <sz val="9"/>
        <color rgb="FFFF0000"/>
        <rFont val="Noto Sans CJK HK"/>
        <charset val="134"/>
      </rPr>
      <t xml:space="preserve">注销工作签 </t>
    </r>
    <r>
      <rPr>
        <sz val="9"/>
        <color rgb="FF000000"/>
        <rFont val="Times New Roman"/>
        <charset val="134"/>
      </rPr>
      <t>/ ERP</t>
    </r>
  </si>
  <si>
    <r>
      <rPr>
        <sz val="9"/>
        <color theme="1"/>
        <rFont val="Times New Roman"/>
        <charset val="134"/>
      </rPr>
      <t>Rp. 850.000</t>
    </r>
  </si>
  <si>
    <r>
      <rPr>
        <b/>
        <sz val="9"/>
        <color rgb="FFFF0000"/>
        <rFont val="Noto Sans CJK HK"/>
        <charset val="134"/>
      </rPr>
      <t xml:space="preserve">电子落地签证 </t>
    </r>
    <r>
      <rPr>
        <sz val="9"/>
        <color rgb="FF000000"/>
        <rFont val="Times New Roman"/>
        <charset val="134"/>
      </rPr>
      <t>EVOA</t>
    </r>
  </si>
  <si>
    <r>
      <rPr>
        <sz val="9"/>
        <color theme="1"/>
        <rFont val="Times New Roman"/>
        <charset val="134"/>
      </rPr>
      <t>Rp. 800.000</t>
    </r>
  </si>
  <si>
    <r>
      <rPr>
        <b/>
        <sz val="9"/>
        <color rgb="FFFF0000"/>
        <rFont val="Noto Sans CJK HK"/>
        <charset val="134"/>
      </rPr>
      <t xml:space="preserve">一年多次往返签证 </t>
    </r>
    <r>
      <rPr>
        <sz val="9"/>
        <color rgb="FF000000"/>
        <rFont val="Times New Roman"/>
        <charset val="134"/>
      </rPr>
      <t>212</t>
    </r>
  </si>
  <si>
    <r>
      <rPr>
        <sz val="9"/>
        <color theme="1"/>
        <rFont val="Times New Roman"/>
        <charset val="134"/>
      </rPr>
      <t>Rp. 5.200.000</t>
    </r>
  </si>
  <si>
    <r>
      <rPr>
        <sz val="9"/>
        <color rgb="FF000000"/>
        <rFont val="Times New Roman"/>
        <charset val="134"/>
      </rPr>
      <t xml:space="preserve">Rp. 6.300,000 ( </t>
    </r>
    <r>
      <rPr>
        <sz val="9"/>
        <color rgb="FF000000"/>
        <rFont val="Droid Sans Fallback"/>
        <charset val="134"/>
      </rPr>
      <t>加急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Droid Sans Fallback"/>
        <charset val="134"/>
      </rPr>
      <t>天出）</t>
    </r>
  </si>
  <si>
    <r>
      <rPr>
        <b/>
        <sz val="9"/>
        <color rgb="FFFF0000"/>
        <rFont val="Noto Sans CJK HK"/>
        <charset val="134"/>
      </rPr>
      <t xml:space="preserve">商务签 </t>
    </r>
    <r>
      <rPr>
        <b/>
        <sz val="9"/>
        <color rgb="FFFF0000"/>
        <rFont val="Times New Roman"/>
        <charset val="134"/>
      </rPr>
      <t xml:space="preserve">211A-211B </t>
    </r>
    <r>
      <rPr>
        <sz val="9"/>
        <color rgb="FF000000"/>
        <rFont val="Times New Roman"/>
        <charset val="134"/>
      </rPr>
      <t>/ Visa Bisnis 211A-211B</t>
    </r>
  </si>
  <si>
    <r>
      <rPr>
        <sz val="9"/>
        <color theme="1"/>
        <rFont val="Times New Roman"/>
        <charset val="134"/>
      </rPr>
      <t>Rp. 3.700.000</t>
    </r>
  </si>
  <si>
    <r>
      <rPr>
        <sz val="9"/>
        <color rgb="FF000000"/>
        <rFont val="Times New Roman"/>
        <charset val="134"/>
      </rPr>
      <t xml:space="preserve">Rp. 5.200.000 ( </t>
    </r>
    <r>
      <rPr>
        <sz val="9"/>
        <color rgb="FF000000"/>
        <rFont val="Droid Sans Fallback"/>
        <charset val="134"/>
      </rPr>
      <t>加急</t>
    </r>
    <r>
      <rPr>
        <sz val="9"/>
        <color rgb="FF000000"/>
        <rFont val="Times New Roman"/>
        <charset val="134"/>
      </rPr>
      <t>1</t>
    </r>
    <r>
      <rPr>
        <sz val="9"/>
        <color rgb="FF000000"/>
        <rFont val="Droid Sans Fallback"/>
        <charset val="134"/>
      </rPr>
      <t>天出 ）</t>
    </r>
  </si>
  <si>
    <r>
      <rPr>
        <b/>
        <sz val="9"/>
        <color rgb="FF000000"/>
        <rFont val="Noto Sans CJK HK"/>
        <charset val="134"/>
      </rPr>
      <t xml:space="preserve">序号
</t>
    </r>
    <r>
      <rPr>
        <b/>
        <sz val="9"/>
        <color rgb="FF000000"/>
        <rFont val="Times New Roman"/>
        <charset val="134"/>
      </rPr>
      <t>No</t>
    </r>
  </si>
  <si>
    <r>
      <rPr>
        <b/>
        <sz val="9"/>
        <color rgb="FF000000"/>
        <rFont val="Noto Sans CJK HK"/>
        <charset val="134"/>
      </rPr>
      <t xml:space="preserve">价格 </t>
    </r>
    <r>
      <rPr>
        <b/>
        <sz val="9"/>
        <color rgb="FF000000"/>
        <rFont val="Times New Roman"/>
        <charset val="134"/>
      </rPr>
      <t>Harga</t>
    </r>
  </si>
  <si>
    <r>
      <rPr>
        <sz val="9"/>
        <color theme="1"/>
        <rFont val="Times New Roman"/>
        <charset val="134"/>
      </rPr>
      <t>( TIDAK BISA DI BERIKAN AKUN &amp; PASSWORD )</t>
    </r>
  </si>
  <si>
    <r>
      <rPr>
        <sz val="9"/>
        <color rgb="FF000000"/>
        <rFont val="Droid Sans Fallback"/>
        <charset val="134"/>
      </rPr>
      <t xml:space="preserve">注销工作签 </t>
    </r>
    <r>
      <rPr>
        <sz val="9"/>
        <color rgb="FF000000"/>
        <rFont val="Times New Roman"/>
        <charset val="134"/>
      </rPr>
      <t>/ EPO / ERP / CANCEL KITAS</t>
    </r>
  </si>
  <si>
    <r>
      <rPr>
        <sz val="9"/>
        <color rgb="FF000000"/>
        <rFont val="Droid Sans Fallback"/>
        <charset val="134"/>
      </rPr>
      <t xml:space="preserve">取移民局账号 </t>
    </r>
    <r>
      <rPr>
        <sz val="9"/>
        <color rgb="FF000000"/>
        <rFont val="Times New Roman"/>
        <charset val="134"/>
      </rPr>
      <t>/ Tarik Akun Visa Online</t>
    </r>
  </si>
  <si>
    <r>
      <rPr>
        <sz val="9"/>
        <color rgb="FF000000"/>
        <rFont val="Droid Sans Fallback"/>
        <charset val="134"/>
      </rPr>
      <t xml:space="preserve">取 </t>
    </r>
    <r>
      <rPr>
        <sz val="9"/>
        <color rgb="FF000000"/>
        <rFont val="Times New Roman"/>
        <charset val="134"/>
      </rPr>
      <t xml:space="preserve">OSS </t>
    </r>
    <r>
      <rPr>
        <sz val="9"/>
        <color rgb="FF000000"/>
        <rFont val="Droid Sans Fallback"/>
        <charset val="134"/>
      </rPr>
      <t>账号</t>
    </r>
    <r>
      <rPr>
        <sz val="9"/>
        <color rgb="FF000000"/>
        <rFont val="Times New Roman"/>
        <charset val="134"/>
      </rPr>
      <t>/ Tarik Akun Oss</t>
    </r>
  </si>
  <si>
    <r>
      <rPr>
        <sz val="9"/>
        <color theme="1"/>
        <rFont val="Times New Roman"/>
        <charset val="134"/>
      </rPr>
      <t>Rp.850.000</t>
    </r>
  </si>
  <si>
    <r>
      <rPr>
        <sz val="9"/>
        <color rgb="FF000000"/>
        <rFont val="Droid Sans Fallback"/>
        <charset val="134"/>
      </rPr>
      <t xml:space="preserve">取劳工部账号 </t>
    </r>
    <r>
      <rPr>
        <sz val="9"/>
        <color rgb="FF000000"/>
        <rFont val="Times New Roman"/>
        <charset val="134"/>
      </rPr>
      <t>/ Tarik Akun TKA Online</t>
    </r>
  </si>
  <si>
    <r>
      <rPr>
        <sz val="9"/>
        <color theme="1"/>
        <rFont val="Times New Roman"/>
        <charset val="134"/>
      </rPr>
      <t>Rp. 600.000</t>
    </r>
  </si>
  <si>
    <r>
      <rPr>
        <sz val="9"/>
        <color rgb="FF000000"/>
        <rFont val="Droid Sans Fallback"/>
        <charset val="134"/>
      </rPr>
      <t xml:space="preserve">劳工部报告账号 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Droid Sans Fallback"/>
        <charset val="134"/>
      </rPr>
      <t>自己有资料</t>
    </r>
    <r>
      <rPr>
        <sz val="9"/>
        <color rgb="FF000000"/>
        <rFont val="Times New Roman"/>
        <charset val="134"/>
      </rPr>
      <t>) / Pendaftaran WLK Baru (Ada Data Sendiri)</t>
    </r>
  </si>
  <si>
    <r>
      <rPr>
        <sz val="9"/>
        <color rgb="FF000000"/>
        <rFont val="Droid Sans Fallback"/>
        <charset val="134"/>
      </rPr>
      <t xml:space="preserve">劳工部报告账号 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Droid Sans Fallback"/>
        <charset val="134"/>
      </rPr>
      <t>没有资料</t>
    </r>
    <r>
      <rPr>
        <sz val="9"/>
        <color rgb="FF000000"/>
        <rFont val="Times New Roman"/>
        <charset val="134"/>
      </rPr>
      <t>) / Pendaftaran WLK Baru (Tidak Ada Data Sendiri)</t>
    </r>
  </si>
  <si>
    <r>
      <rPr>
        <sz val="9"/>
        <color theme="1"/>
        <rFont val="Times New Roman"/>
        <charset val="134"/>
      </rPr>
      <t>Rp. 1.500.000</t>
    </r>
  </si>
  <si>
    <r>
      <rPr>
        <sz val="9"/>
        <color rgb="FF000000"/>
        <rFont val="Droid Sans Fallback"/>
        <charset val="134"/>
      </rPr>
      <t xml:space="preserve">取劳工部报告账号和密码 </t>
    </r>
    <r>
      <rPr>
        <sz val="9"/>
        <color rgb="FF000000"/>
        <rFont val="Times New Roman"/>
        <charset val="134"/>
      </rPr>
      <t>Tarik Akun WLK / Pengalihan akun WLK</t>
    </r>
  </si>
  <si>
    <r>
      <rPr>
        <sz val="9"/>
        <color theme="1"/>
        <rFont val="Times New Roman"/>
        <charset val="134"/>
      </rPr>
      <t>Rp. 1.000.000</t>
    </r>
  </si>
  <si>
    <r>
      <rPr>
        <sz val="9"/>
        <color rgb="FF000000"/>
        <rFont val="Droid Sans Fallback"/>
        <charset val="134"/>
      </rPr>
      <t xml:space="preserve">取资料 </t>
    </r>
    <r>
      <rPr>
        <sz val="9"/>
        <color rgb="FF000000"/>
        <rFont val="Times New Roman"/>
        <charset val="134"/>
      </rPr>
      <t>/ Bon File</t>
    </r>
  </si>
  <si>
    <r>
      <rPr>
        <sz val="9"/>
        <color theme="1"/>
        <rFont val="Times New Roman"/>
        <charset val="134"/>
      </rPr>
      <t>Rp. 700.000</t>
    </r>
  </si>
  <si>
    <r>
      <rPr>
        <sz val="9"/>
        <color rgb="FF000000"/>
        <rFont val="Droid Sans Fallback"/>
        <charset val="134"/>
      </rPr>
      <t xml:space="preserve">雅加达居住证 </t>
    </r>
    <r>
      <rPr>
        <sz val="9"/>
        <color rgb="FF000000"/>
        <rFont val="Times New Roman"/>
        <charset val="134"/>
      </rPr>
      <t>/ SKTT Jakarta</t>
    </r>
  </si>
  <si>
    <r>
      <rPr>
        <sz val="9"/>
        <color theme="1"/>
        <rFont val="Times New Roman"/>
        <charset val="134"/>
      </rPr>
      <t>Rp. 650.000</t>
    </r>
  </si>
  <si>
    <r>
      <rPr>
        <sz val="9"/>
        <color rgb="FF000000"/>
        <rFont val="Droid Sans Fallback"/>
        <charset val="134"/>
      </rPr>
      <t xml:space="preserve">坦格朗居住证 </t>
    </r>
    <r>
      <rPr>
        <sz val="9"/>
        <color rgb="FF000000"/>
        <rFont val="Times New Roman"/>
        <charset val="134"/>
      </rPr>
      <t>/ SKTT Tangerang</t>
    </r>
  </si>
  <si>
    <r>
      <rPr>
        <sz val="9"/>
        <color theme="1"/>
        <rFont val="Times New Roman"/>
        <charset val="134"/>
      </rPr>
      <t>Rp. 900.000</t>
    </r>
  </si>
  <si>
    <r>
      <rPr>
        <sz val="9"/>
        <color rgb="FF000000"/>
        <rFont val="Droid Sans Fallback"/>
        <charset val="134"/>
      </rPr>
      <t xml:space="preserve">警察报告 </t>
    </r>
    <r>
      <rPr>
        <sz val="9"/>
        <color rgb="FF000000"/>
        <rFont val="Times New Roman"/>
        <charset val="134"/>
      </rPr>
      <t>/ STM</t>
    </r>
  </si>
  <si>
    <r>
      <rPr>
        <sz val="9"/>
        <color theme="1"/>
        <rFont val="Times New Roman"/>
        <charset val="134"/>
      </rPr>
      <t>Rp. 500.000</t>
    </r>
  </si>
  <si>
    <r>
      <rPr>
        <sz val="9"/>
        <color rgb="FF000000"/>
        <rFont val="Times New Roman"/>
        <charset val="134"/>
      </rPr>
      <t xml:space="preserve">Rp. 850.000 ( 2 </t>
    </r>
    <r>
      <rPr>
        <sz val="9"/>
        <color rgb="FF000000"/>
        <rFont val="Droid Sans Fallback"/>
        <charset val="134"/>
      </rPr>
      <t>天工作日 ）</t>
    </r>
  </si>
  <si>
    <r>
      <rPr>
        <sz val="9"/>
        <color rgb="FF000000"/>
        <rFont val="Droid Sans Fallback"/>
        <charset val="134"/>
      </rPr>
      <t xml:space="preserve">改地址 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Droid Sans Fallback"/>
        <charset val="134"/>
      </rPr>
      <t>进</t>
    </r>
    <r>
      <rPr>
        <sz val="9"/>
        <color rgb="FF000000"/>
        <rFont val="Times New Roman"/>
        <charset val="134"/>
      </rPr>
      <t>/</t>
    </r>
    <r>
      <rPr>
        <sz val="9"/>
        <color rgb="FF000000"/>
        <rFont val="Droid Sans Fallback"/>
        <charset val="134"/>
      </rPr>
      <t>出</t>
    </r>
    <r>
      <rPr>
        <sz val="9"/>
        <color rgb="FF000000"/>
        <rFont val="Times New Roman"/>
        <charset val="134"/>
      </rPr>
      <t>) / Mutasi Alamat (Keluar/Masuk)</t>
    </r>
  </si>
  <si>
    <r>
      <rPr>
        <sz val="9"/>
        <color theme="1"/>
        <rFont val="Times New Roman"/>
        <charset val="134"/>
      </rPr>
      <t>DAFTAR AKUN BPJS PERUSAHAAN &amp; PERORANGAN</t>
    </r>
  </si>
  <si>
    <r>
      <rPr>
        <sz val="9"/>
        <color theme="1"/>
        <rFont val="Times New Roman"/>
        <charset val="134"/>
      </rPr>
      <t>IT DIRJEN ( jika NPWP tidak terbaca sistem/ no kitas tidak terbaca sistem/ tidak ngelink )</t>
    </r>
  </si>
  <si>
    <r>
      <rPr>
        <sz val="9"/>
        <color rgb="FF000000"/>
        <rFont val="Droid Sans Fallback"/>
        <charset val="134"/>
      </rPr>
      <t xml:space="preserve">个人税卡 </t>
    </r>
    <r>
      <rPr>
        <sz val="9"/>
        <color rgb="FF000000"/>
        <rFont val="Times New Roman"/>
        <charset val="134"/>
      </rPr>
      <t>NPWP Perorangan</t>
    </r>
  </si>
  <si>
    <r>
      <rPr>
        <sz val="9"/>
        <color rgb="FF000000"/>
        <rFont val="Droid Sans Fallback"/>
        <charset val="134"/>
      </rPr>
      <t xml:space="preserve">五年驾照 </t>
    </r>
    <r>
      <rPr>
        <sz val="9"/>
        <color rgb="FF000000"/>
        <rFont val="Times New Roman"/>
        <charset val="134"/>
      </rPr>
      <t>/ SIM 5 Tahun</t>
    </r>
  </si>
  <si>
    <r>
      <rPr>
        <sz val="9"/>
        <color theme="1"/>
        <rFont val="Times New Roman"/>
        <charset val="134"/>
      </rPr>
      <t>Rp. 1.100.000</t>
    </r>
  </si>
  <si>
    <r>
      <rPr>
        <sz val="9"/>
        <color rgb="FF000000"/>
        <rFont val="Times New Roman"/>
        <charset val="134"/>
      </rPr>
      <t xml:space="preserve">* </t>
    </r>
    <r>
      <rPr>
        <sz val="9"/>
        <color rgb="FF000000"/>
        <rFont val="Droid Sans Fallback"/>
        <charset val="134"/>
      </rPr>
      <t>以上工作签价格还没算</t>
    </r>
    <r>
      <rPr>
        <sz val="9"/>
        <color rgb="FF000000"/>
        <rFont val="Times New Roman"/>
        <charset val="134"/>
      </rPr>
      <t>Acc Ceklap (</t>
    </r>
    <r>
      <rPr>
        <sz val="9"/>
        <color rgb="FF000000"/>
        <rFont val="Droid Sans Fallback"/>
        <charset val="134"/>
      </rPr>
      <t>现在办理工作签会凑查</t>
    </r>
    <r>
      <rPr>
        <sz val="9"/>
        <color rgb="FF000000"/>
        <rFont val="Times New Roman"/>
        <charset val="134"/>
      </rPr>
      <t>) / Harga Diatas Belum Termasuk Harga Acc Ceklap (Sekarang Proses Kitas Ada pemeriksaan" Random" )</t>
    </r>
  </si>
  <si>
    <r>
      <rPr>
        <sz val="9"/>
        <color rgb="FF000000"/>
        <rFont val="Times New Roman"/>
        <charset val="134"/>
      </rPr>
      <t xml:space="preserve">* </t>
    </r>
    <r>
      <rPr>
        <sz val="9"/>
        <color rgb="FF000000"/>
        <rFont val="Droid Sans Fallback"/>
        <charset val="134"/>
      </rPr>
      <t xml:space="preserve">半年的工作签证需要买保险 ， </t>
    </r>
    <r>
      <rPr>
        <sz val="9"/>
        <color rgb="FF000000"/>
        <rFont val="Times New Roman"/>
        <charset val="134"/>
      </rPr>
      <t>Kitas kerja 6 bulan harus memnbeli asuransi ( Rp. 2.500.000 )</t>
    </r>
  </si>
  <si>
    <r>
      <rPr>
        <sz val="9"/>
        <color rgb="FF000000"/>
        <rFont val="Times New Roman"/>
        <charset val="134"/>
      </rPr>
      <t xml:space="preserve">* </t>
    </r>
    <r>
      <rPr>
        <sz val="9"/>
        <color rgb="FF000000"/>
        <rFont val="Droid Sans Fallback"/>
        <charset val="134"/>
      </rPr>
      <t xml:space="preserve">延期工作签证第 </t>
    </r>
    <r>
      <rPr>
        <sz val="9"/>
        <color rgb="FF000000"/>
        <rFont val="Times New Roman"/>
        <charset val="134"/>
      </rPr>
      <t xml:space="preserve">4,5 </t>
    </r>
    <r>
      <rPr>
        <sz val="9"/>
        <color rgb="FF000000"/>
        <rFont val="Droid Sans Fallback"/>
        <charset val="134"/>
      </rPr>
      <t xml:space="preserve">次有加批文费用 价格 </t>
    </r>
    <r>
      <rPr>
        <sz val="9"/>
        <color rgb="FF000000"/>
        <rFont val="Times New Roman"/>
        <charset val="134"/>
      </rPr>
      <t xml:space="preserve">1.500.000 </t>
    </r>
    <r>
      <rPr>
        <sz val="9"/>
        <color rgb="FF000000"/>
        <rFont val="Droid Sans Fallback"/>
        <charset val="134"/>
      </rPr>
      <t>，</t>
    </r>
    <r>
      <rPr>
        <sz val="9"/>
        <color rgb="FF000000"/>
        <rFont val="Times New Roman"/>
        <charset val="134"/>
      </rPr>
      <t>Kitas Kerja perpanjangan ke 4,5 ada tambahan biaya kanwil Harga Rp. 1.500.000</t>
    </r>
  </si>
  <si>
    <r>
      <rPr>
        <sz val="9"/>
        <color rgb="FF000000"/>
        <rFont val="Times New Roman"/>
        <charset val="134"/>
      </rPr>
      <t xml:space="preserve">* </t>
    </r>
    <r>
      <rPr>
        <sz val="9"/>
        <color rgb="FF000000"/>
        <rFont val="Droid Sans Fallback"/>
        <charset val="134"/>
      </rPr>
      <t>雅加达工作签证，投资签证，家属签证 报过站住正</t>
    </r>
    <r>
      <rPr>
        <sz val="9"/>
        <color rgb="FF000000"/>
        <rFont val="Times New Roman"/>
        <charset val="134"/>
      </rPr>
      <t xml:space="preserve">/SKTT, </t>
    </r>
    <r>
      <rPr>
        <sz val="9"/>
        <color rgb="FF000000"/>
        <rFont val="Droid Sans Fallback"/>
        <charset val="134"/>
      </rPr>
      <t>其他的地方另外收费。</t>
    </r>
    <r>
      <rPr>
        <sz val="9"/>
        <color rgb="FF000000"/>
        <rFont val="Times New Roman"/>
        <charset val="134"/>
      </rPr>
      <t>Kitas Jakarta termasuk SKTT, Di luar jakarta biaya SKTT 800.000</t>
    </r>
  </si>
  <si>
    <r>
      <rPr>
        <sz val="9"/>
        <color rgb="FF000000"/>
        <rFont val="Times New Roman"/>
        <charset val="134"/>
      </rPr>
      <t xml:space="preserve">* </t>
    </r>
    <r>
      <rPr>
        <sz val="9"/>
        <color rgb="FF000000"/>
        <rFont val="Droid Sans Fallback"/>
        <charset val="134"/>
      </rPr>
      <t xml:space="preserve">如果有过期有报告费用 </t>
    </r>
    <r>
      <rPr>
        <sz val="9"/>
        <color rgb="FF000000"/>
        <rFont val="Times New Roman"/>
        <charset val="134"/>
      </rPr>
      <t xml:space="preserve">500.000  </t>
    </r>
    <r>
      <rPr>
        <sz val="9"/>
        <color rgb="FF000000"/>
        <rFont val="Droid Sans Fallback"/>
        <charset val="134"/>
      </rPr>
      <t xml:space="preserve">， </t>
    </r>
    <r>
      <rPr>
        <sz val="9"/>
        <color rgb="FF000000"/>
        <rFont val="Times New Roman"/>
        <charset val="134"/>
      </rPr>
      <t>Jika overstay ada biaya tambahan BAP 500.000</t>
    </r>
  </si>
  <si>
    <r>
      <rPr>
        <sz val="9"/>
        <color rgb="FF000000"/>
        <rFont val="Times New Roman"/>
        <charset val="134"/>
      </rPr>
      <t xml:space="preserve">* </t>
    </r>
    <r>
      <rPr>
        <sz val="9"/>
        <color rgb="FF000000"/>
        <rFont val="Droid Sans Fallback"/>
        <charset val="134"/>
      </rPr>
      <t xml:space="preserve">如果延期 商务签证，落地签证（ 明天到期的 ）下午时间再给护照先拿去登记移民系统 价格 </t>
    </r>
    <r>
      <rPr>
        <sz val="9"/>
        <color rgb="FF000000"/>
        <rFont val="Times New Roman"/>
        <charset val="134"/>
      </rPr>
      <t xml:space="preserve">500.000 </t>
    </r>
    <r>
      <rPr>
        <sz val="9"/>
        <color rgb="FF000000"/>
        <rFont val="Droid Sans Fallback"/>
        <charset val="134"/>
      </rPr>
      <t xml:space="preserve">， </t>
    </r>
    <r>
      <rPr>
        <sz val="9"/>
        <color rgb="FF000000"/>
        <rFont val="Times New Roman"/>
        <charset val="134"/>
      </rPr>
      <t>Jika extend 211/voa, yang besok expired dan paspor terima sore, ad biaya tambahan 500.000</t>
    </r>
  </si>
  <si>
    <r>
      <rPr>
        <b/>
        <sz val="9"/>
        <color rgb="FF000000"/>
        <rFont val="Noto Sans CJK HK"/>
        <charset val="134"/>
      </rPr>
      <t xml:space="preserve">旅游签证 </t>
    </r>
    <r>
      <rPr>
        <b/>
        <sz val="9"/>
        <color rgb="FF000000"/>
        <rFont val="Times New Roman"/>
        <charset val="134"/>
      </rPr>
      <t>/ VISA TURIS</t>
    </r>
  </si>
  <si>
    <r>
      <rPr>
        <sz val="9"/>
        <color rgb="FF000000"/>
        <rFont val="Droid Sans Fallback"/>
        <charset val="134"/>
      </rPr>
      <t xml:space="preserve">菲律宾签证 </t>
    </r>
    <r>
      <rPr>
        <sz val="9"/>
        <color rgb="FF000000"/>
        <rFont val="Times New Roman"/>
        <charset val="134"/>
      </rPr>
      <t>/ VISA PHILIPHINE</t>
    </r>
  </si>
  <si>
    <r>
      <rPr>
        <sz val="9"/>
        <color theme="1"/>
        <rFont val="Times New Roman"/>
        <charset val="134"/>
      </rPr>
      <t>Rp2,000,000</t>
    </r>
  </si>
  <si>
    <r>
      <rPr>
        <sz val="9"/>
        <color rgb="FF000000"/>
        <rFont val="Droid Sans Fallback"/>
        <charset val="134"/>
      </rPr>
      <t xml:space="preserve">中国签证 </t>
    </r>
    <r>
      <rPr>
        <sz val="9"/>
        <color rgb="FF000000"/>
        <rFont val="Times New Roman"/>
        <charset val="134"/>
      </rPr>
      <t>/ VISA CHINA SINGLE ENTRY</t>
    </r>
  </si>
  <si>
    <r>
      <rPr>
        <sz val="9"/>
        <color theme="1"/>
        <rFont val="Times New Roman"/>
        <charset val="134"/>
      </rPr>
      <t>Rp1,700,000</t>
    </r>
  </si>
  <si>
    <r>
      <rPr>
        <sz val="9"/>
        <color rgb="FF000000"/>
        <rFont val="Droid Sans Fallback"/>
        <charset val="134"/>
      </rPr>
      <t xml:space="preserve">新加坡签证 </t>
    </r>
    <r>
      <rPr>
        <sz val="9"/>
        <color rgb="FF000000"/>
        <rFont val="Times New Roman"/>
        <charset val="134"/>
      </rPr>
      <t>/ VISA SINGAPORE</t>
    </r>
  </si>
  <si>
    <r>
      <rPr>
        <sz val="9"/>
        <color theme="1"/>
        <rFont val="Times New Roman"/>
        <charset val="134"/>
      </rPr>
      <t>Rp1,500,000</t>
    </r>
  </si>
  <si>
    <r>
      <rPr>
        <sz val="9"/>
        <color rgb="FF000000"/>
        <rFont val="Droid Sans Fallback"/>
        <charset val="134"/>
      </rPr>
      <t xml:space="preserve">马来西亚签证 </t>
    </r>
    <r>
      <rPr>
        <sz val="9"/>
        <color rgb="FF000000"/>
        <rFont val="Times New Roman"/>
        <charset val="134"/>
      </rPr>
      <t>/ VISA MALAYSIA</t>
    </r>
  </si>
  <si>
    <r>
      <rPr>
        <sz val="9"/>
        <color theme="1"/>
        <rFont val="Times New Roman"/>
        <charset val="134"/>
      </rPr>
      <t>Rp1,000,000</t>
    </r>
  </si>
  <si>
    <r>
      <rPr>
        <sz val="9"/>
        <color rgb="FF000000"/>
        <rFont val="Droid Sans Fallback"/>
        <charset val="134"/>
      </rPr>
      <t xml:space="preserve">日本签证 </t>
    </r>
    <r>
      <rPr>
        <sz val="9"/>
        <color rgb="FF000000"/>
        <rFont val="Times New Roman"/>
        <charset val="134"/>
      </rPr>
      <t>/ VISA JEPANG PREMIER SINGLE</t>
    </r>
  </si>
  <si>
    <r>
      <rPr>
        <sz val="9"/>
        <color theme="1"/>
        <rFont val="Times New Roman"/>
        <charset val="134"/>
      </rPr>
      <t>VISA JEPANG WAIVER</t>
    </r>
  </si>
  <si>
    <r>
      <rPr>
        <sz val="9"/>
        <color theme="1"/>
        <rFont val="Times New Roman"/>
        <charset val="134"/>
      </rPr>
      <t>Rp450,000</t>
    </r>
  </si>
  <si>
    <r>
      <rPr>
        <sz val="9"/>
        <color rgb="FF000000"/>
        <rFont val="Droid Sans Fallback"/>
        <charset val="134"/>
      </rPr>
      <t xml:space="preserve">韩国签证 </t>
    </r>
    <r>
      <rPr>
        <sz val="9"/>
        <color rgb="FF000000"/>
        <rFont val="Times New Roman"/>
        <charset val="134"/>
      </rPr>
      <t>/ VISA KOREA SINGLE</t>
    </r>
  </si>
  <si>
    <r>
      <rPr>
        <sz val="9"/>
        <color rgb="FF000000"/>
        <rFont val="Droid Sans Fallback"/>
        <charset val="134"/>
      </rPr>
      <t>美国签证</t>
    </r>
    <r>
      <rPr>
        <sz val="9"/>
        <color rgb="FF000000"/>
        <rFont val="Times New Roman"/>
        <charset val="134"/>
      </rPr>
      <t>/ VISA AMERIKA</t>
    </r>
  </si>
  <si>
    <r>
      <rPr>
        <sz val="9"/>
        <color theme="1"/>
        <rFont val="Times New Roman"/>
        <charset val="134"/>
      </rPr>
      <t>Rp5,000,000</t>
    </r>
  </si>
  <si>
    <r>
      <rPr>
        <sz val="9"/>
        <color rgb="FF000000"/>
        <rFont val="Droid Sans Fallback"/>
        <charset val="134"/>
      </rPr>
      <t xml:space="preserve">澳大利亚签证 </t>
    </r>
    <r>
      <rPr>
        <sz val="9"/>
        <color rgb="FF000000"/>
        <rFont val="Times New Roman"/>
        <charset val="134"/>
      </rPr>
      <t>/ VISA AUSTRALIA</t>
    </r>
  </si>
  <si>
    <r>
      <rPr>
        <sz val="9"/>
        <color theme="1"/>
        <rFont val="Times New Roman"/>
        <charset val="134"/>
      </rPr>
      <t>Rp3,500,000</t>
    </r>
  </si>
  <si>
    <r>
      <rPr>
        <sz val="9"/>
        <color rgb="FF000000"/>
        <rFont val="Droid Sans Fallback"/>
        <charset val="134"/>
      </rPr>
      <t xml:space="preserve">新西兰签证 </t>
    </r>
    <r>
      <rPr>
        <sz val="9"/>
        <color rgb="FF000000"/>
        <rFont val="Times New Roman"/>
        <charset val="134"/>
      </rPr>
      <t>/ VISA NEW ZEALAND</t>
    </r>
  </si>
  <si>
    <r>
      <rPr>
        <sz val="9"/>
        <color theme="1"/>
        <rFont val="Times New Roman"/>
        <charset val="134"/>
      </rPr>
      <t>Rp4,000,000</t>
    </r>
  </si>
  <si>
    <r>
      <rPr>
        <sz val="9"/>
        <color rgb="FF000000"/>
        <rFont val="Droid Sans Fallback"/>
        <charset val="134"/>
      </rPr>
      <t xml:space="preserve">越南签证 </t>
    </r>
    <r>
      <rPr>
        <sz val="9"/>
        <color rgb="FF000000"/>
        <rFont val="Times New Roman"/>
        <charset val="134"/>
      </rPr>
      <t>/ VISA VIETNAM</t>
    </r>
  </si>
  <si>
    <r>
      <rPr>
        <sz val="9"/>
        <color rgb="FF000000"/>
        <rFont val="Droid Sans Fallback"/>
        <charset val="134"/>
      </rPr>
      <t xml:space="preserve">欧洲签证 </t>
    </r>
    <r>
      <rPr>
        <sz val="9"/>
        <color rgb="FF000000"/>
        <rFont val="Times New Roman"/>
        <charset val="134"/>
      </rPr>
      <t xml:space="preserve">/ VISA EROPA NEGARA PRANCIS </t>
    </r>
    <r>
      <rPr>
        <sz val="9"/>
        <color rgb="FF000000"/>
        <rFont val="Droid Sans Fallback"/>
        <charset val="134"/>
      </rPr>
      <t xml:space="preserve">（ </t>
    </r>
    <r>
      <rPr>
        <sz val="9"/>
        <color rgb="FF000000"/>
        <rFont val="Times New Roman"/>
        <charset val="134"/>
      </rPr>
      <t>tidak termasuk asuransi )</t>
    </r>
  </si>
  <si>
    <r>
      <rPr>
        <sz val="9"/>
        <color theme="1"/>
        <rFont val="Times New Roman"/>
        <charset val="134"/>
      </rPr>
      <t>Rp4,500,000</t>
    </r>
  </si>
  <si>
    <r>
      <rPr>
        <sz val="9"/>
        <color rgb="FF000000"/>
        <rFont val="Droid Sans Fallback"/>
        <charset val="134"/>
      </rPr>
      <t xml:space="preserve">欧洲签证 </t>
    </r>
    <r>
      <rPr>
        <sz val="9"/>
        <color rgb="FF000000"/>
        <rFont val="Times New Roman"/>
        <charset val="134"/>
      </rPr>
      <t xml:space="preserve">/ VISA EROPA NEGARA SWISS </t>
    </r>
    <r>
      <rPr>
        <sz val="9"/>
        <color rgb="FF000000"/>
        <rFont val="Droid Sans Fallback"/>
        <charset val="134"/>
      </rPr>
      <t xml:space="preserve">（ </t>
    </r>
    <r>
      <rPr>
        <sz val="9"/>
        <color rgb="FF000000"/>
        <rFont val="Times New Roman"/>
        <charset val="134"/>
      </rPr>
      <t>tidak termasuk asuransi )</t>
    </r>
  </si>
  <si>
    <r>
      <rPr>
        <sz val="9"/>
        <color rgb="FF000000"/>
        <rFont val="Droid Sans Fallback"/>
        <charset val="134"/>
      </rPr>
      <t xml:space="preserve">欧洲签证 </t>
    </r>
    <r>
      <rPr>
        <sz val="9"/>
        <color rgb="FF000000"/>
        <rFont val="Times New Roman"/>
        <charset val="134"/>
      </rPr>
      <t xml:space="preserve">/ VISA EROPA NEGARA BELANDA </t>
    </r>
    <r>
      <rPr>
        <sz val="9"/>
        <color rgb="FF000000"/>
        <rFont val="Droid Sans Fallback"/>
        <charset val="134"/>
      </rPr>
      <t xml:space="preserve">（ </t>
    </r>
    <r>
      <rPr>
        <sz val="9"/>
        <color rgb="FF000000"/>
        <rFont val="Times New Roman"/>
        <charset val="134"/>
      </rPr>
      <t>tidak termasuk asuransi )</t>
    </r>
  </si>
  <si>
    <r>
      <rPr>
        <sz val="9"/>
        <color rgb="FF000000"/>
        <rFont val="Droid Sans Fallback"/>
        <charset val="134"/>
      </rPr>
      <t xml:space="preserve">欧洲签证 </t>
    </r>
    <r>
      <rPr>
        <sz val="9"/>
        <color rgb="FF000000"/>
        <rFont val="Times New Roman"/>
        <charset val="134"/>
      </rPr>
      <t xml:space="preserve">/ VISA EROPA NEGARA GERMAN </t>
    </r>
    <r>
      <rPr>
        <sz val="9"/>
        <color rgb="FF000000"/>
        <rFont val="Droid Sans Fallback"/>
        <charset val="134"/>
      </rPr>
      <t xml:space="preserve">（ </t>
    </r>
    <r>
      <rPr>
        <sz val="9"/>
        <color rgb="FF000000"/>
        <rFont val="Times New Roman"/>
        <charset val="134"/>
      </rPr>
      <t>tidak termasuk asuransi )</t>
    </r>
  </si>
  <si>
    <r>
      <rPr>
        <sz val="9"/>
        <color rgb="FF000000"/>
        <rFont val="Droid Sans Fallback"/>
        <charset val="134"/>
      </rPr>
      <t xml:space="preserve">加拿大签证 </t>
    </r>
    <r>
      <rPr>
        <sz val="9"/>
        <color rgb="FF000000"/>
        <rFont val="Times New Roman"/>
        <charset val="134"/>
      </rPr>
      <t xml:space="preserve">/ VISA CANADA </t>
    </r>
    <r>
      <rPr>
        <sz val="9"/>
        <color rgb="FF000000"/>
        <rFont val="Droid Sans Fallback"/>
        <charset val="134"/>
      </rPr>
      <t xml:space="preserve">（ </t>
    </r>
    <r>
      <rPr>
        <sz val="9"/>
        <color rgb="FF000000"/>
        <rFont val="Times New Roman"/>
        <charset val="134"/>
      </rPr>
      <t>tidak termasuk asuransi )</t>
    </r>
  </si>
  <si>
    <r>
      <rPr>
        <sz val="9"/>
        <color rgb="FF000000"/>
        <rFont val="Droid Sans Fallback"/>
        <charset val="134"/>
      </rPr>
      <t xml:space="preserve">台湾签证 </t>
    </r>
    <r>
      <rPr>
        <sz val="9"/>
        <color rgb="FF000000"/>
        <rFont val="Times New Roman"/>
        <charset val="134"/>
      </rPr>
      <t>/ VISA TAIWAN SINGLE</t>
    </r>
  </si>
  <si>
    <r>
      <rPr>
        <sz val="9"/>
        <color theme="1"/>
        <rFont val="Times New Roman"/>
        <charset val="134"/>
      </rPr>
      <t>Rp1,800,000</t>
    </r>
  </si>
  <si>
    <r>
      <rPr>
        <sz val="9"/>
        <color rgb="FF000000"/>
        <rFont val="Droid Sans Fallback"/>
        <charset val="134"/>
      </rPr>
      <t xml:space="preserve">迪拜签证 </t>
    </r>
    <r>
      <rPr>
        <sz val="9"/>
        <color rgb="FF000000"/>
        <rFont val="Times New Roman"/>
        <charset val="134"/>
      </rPr>
      <t>/ VISA DUBAI</t>
    </r>
  </si>
  <si>
    <r>
      <rPr>
        <sz val="9"/>
        <color rgb="FF000000"/>
        <rFont val="Droid Sans Fallback"/>
        <charset val="134"/>
      </rPr>
      <t xml:space="preserve">英国签证 </t>
    </r>
    <r>
      <rPr>
        <sz val="9"/>
        <color rgb="FF000000"/>
        <rFont val="Times New Roman"/>
        <charset val="134"/>
      </rPr>
      <t xml:space="preserve">/ VISA INGGRIS </t>
    </r>
    <r>
      <rPr>
        <sz val="9"/>
        <color rgb="FF000000"/>
        <rFont val="Droid Sans Fallback"/>
        <charset val="134"/>
      </rPr>
      <t xml:space="preserve">（ </t>
    </r>
    <r>
      <rPr>
        <sz val="9"/>
        <color rgb="FF000000"/>
        <rFont val="Times New Roman"/>
        <charset val="134"/>
      </rPr>
      <t>tidak termasuk asuransi )</t>
    </r>
  </si>
  <si>
    <r>
      <rPr>
        <sz val="9"/>
        <color rgb="FF000000"/>
        <rFont val="Droid Sans Fallback"/>
        <charset val="134"/>
      </rPr>
      <t xml:space="preserve">西班牙签证 </t>
    </r>
    <r>
      <rPr>
        <sz val="9"/>
        <color rgb="FF000000"/>
        <rFont val="Times New Roman"/>
        <charset val="134"/>
      </rPr>
      <t xml:space="preserve">/ VISA SPANYOL </t>
    </r>
    <r>
      <rPr>
        <sz val="9"/>
        <color rgb="FF000000"/>
        <rFont val="Droid Sans Fallback"/>
        <charset val="134"/>
      </rPr>
      <t xml:space="preserve">（ </t>
    </r>
    <r>
      <rPr>
        <sz val="9"/>
        <color rgb="FF000000"/>
        <rFont val="Times New Roman"/>
        <charset val="134"/>
      </rPr>
      <t>tidak termasuk asuransi )</t>
    </r>
  </si>
  <si>
    <r>
      <rPr>
        <b/>
        <sz val="9"/>
        <color theme="1"/>
        <rFont val="Times New Roman"/>
        <charset val="134"/>
      </rPr>
      <t>*Harga sewaktu waktu bisa berubah , harap konfirmasi ulang sebelum proses</t>
    </r>
  </si>
  <si>
    <r>
      <rPr>
        <b/>
        <sz val="9"/>
        <color rgb="FF000000"/>
        <rFont val="Times New Roman"/>
        <charset val="134"/>
      </rPr>
      <t xml:space="preserve">* Untuk visa Eropa di perlukan Asuransi , Harga di atas belum termasuk harga asuransi. </t>
    </r>
    <r>
      <rPr>
        <b/>
        <sz val="9"/>
        <color rgb="FF000000"/>
        <rFont val="Noto Sans CJK HK"/>
        <charset val="134"/>
      </rPr>
      <t>欧洲签证需要保险， 上面的价格还没包含保险。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</si>
</sst>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Rp]#,##0"/>
    <numFmt numFmtId="177" formatCode="[$¥]#,##0.00"/>
    <numFmt numFmtId="178" formatCode="[$¥]#,##0"/>
  </numFmts>
  <fonts count="62">
    <font>
      <sz val="10"/>
      <color rgb="FF000000"/>
      <name val="Times New Roman"/>
      <charset val="134"/>
      <scheme val="minor"/>
    </font>
    <font>
      <sz val="9"/>
      <color rgb="FF000000"/>
      <name val="Times New Roman"/>
      <charset val="134"/>
    </font>
    <font>
      <sz val="10"/>
      <name val="Times New Roman"/>
      <charset val="134"/>
      <scheme val="minor"/>
    </font>
    <font>
      <b/>
      <sz val="9"/>
      <color rgb="FF000000"/>
      <name val="Arial"/>
      <charset val="134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sz val="9"/>
      <color theme="1"/>
      <name val="Times New Roman"/>
      <charset val="134"/>
      <scheme val="minor"/>
    </font>
    <font>
      <b/>
      <sz val="9"/>
      <color theme="1"/>
      <name val="SimSun"/>
      <charset val="134"/>
    </font>
    <font>
      <b/>
      <sz val="9"/>
      <color theme="4"/>
      <name val="SimSun"/>
      <charset val="134"/>
    </font>
    <font>
      <b/>
      <sz val="9"/>
      <color rgb="FFFF0000"/>
      <name val="SimSun"/>
      <charset val="134"/>
    </font>
    <font>
      <sz val="9"/>
      <color theme="1"/>
      <name val="SimSun"/>
      <charset val="134"/>
    </font>
    <font>
      <sz val="9"/>
      <color theme="4"/>
      <name val="SimSun"/>
      <charset val="134"/>
    </font>
    <font>
      <sz val="9"/>
      <color rgb="FFFF0000"/>
      <name val="SimSun"/>
      <charset val="134"/>
    </font>
    <font>
      <b/>
      <sz val="10"/>
      <color theme="1"/>
      <name val="Calibri"/>
      <charset val="134"/>
    </font>
    <font>
      <sz val="10"/>
      <color theme="1"/>
      <name val="Times New Roman"/>
      <charset val="134"/>
      <scheme val="minor"/>
    </font>
    <font>
      <sz val="10"/>
      <color rgb="FF000000"/>
      <name val="Calibri"/>
      <charset val="134"/>
    </font>
    <font>
      <b/>
      <sz val="10"/>
      <color theme="1"/>
      <name val="Times New Roman"/>
      <charset val="134"/>
      <scheme val="minor"/>
    </font>
    <font>
      <sz val="10"/>
      <color theme="1"/>
      <name val="Arial"/>
      <charset val="134"/>
    </font>
    <font>
      <sz val="10"/>
      <color rgb="FFFFFFFF"/>
      <name val="Times New Roman"/>
      <charset val="134"/>
      <scheme val="minor"/>
    </font>
    <font>
      <sz val="10"/>
      <color rgb="FFFF0000"/>
      <name val="Times New Roman"/>
      <charset val="134"/>
      <scheme val="minor"/>
    </font>
    <font>
      <sz val="10"/>
      <color theme="1"/>
      <name val="等线"/>
      <charset val="134"/>
    </font>
    <font>
      <sz val="10"/>
      <color theme="1"/>
      <name val="Calibri"/>
      <charset val="134"/>
    </font>
    <font>
      <sz val="10"/>
      <color rgb="FF4A86E8"/>
      <name val="Calibri"/>
      <charset val="134"/>
    </font>
    <font>
      <sz val="10"/>
      <color rgb="FFFF0000"/>
      <name val="Calibri"/>
      <charset val="134"/>
    </font>
    <font>
      <sz val="10"/>
      <color rgb="FFFFFFFF"/>
      <name val="等线"/>
      <charset val="134"/>
    </font>
    <font>
      <sz val="10"/>
      <color rgb="FFFFFFFF"/>
      <name val="Calibri"/>
      <charset val="134"/>
    </font>
    <font>
      <sz val="10"/>
      <color rgb="FF4F81BD"/>
      <name val="Calibri"/>
      <charset val="134"/>
    </font>
    <font>
      <sz val="10"/>
      <color rgb="FFFF00FF"/>
      <name val="Calibri"/>
      <charset val="134"/>
    </font>
    <font>
      <sz val="10"/>
      <color rgb="FF000000"/>
      <name val="宋体-简"/>
      <charset val="134"/>
    </font>
    <font>
      <sz val="10"/>
      <color theme="1"/>
      <name val="Times New Roman"/>
      <charset val="134"/>
    </font>
    <font>
      <sz val="10"/>
      <color rgb="FFFF0000"/>
      <name val="等线"/>
      <charset val="134"/>
    </font>
    <font>
      <sz val="10"/>
      <color rgb="FF3D85C6"/>
      <name val="Calibri"/>
      <charset val="134"/>
    </font>
    <font>
      <sz val="10"/>
      <color rgb="FF000000"/>
      <name val="等线"/>
      <charset val="134"/>
    </font>
    <font>
      <sz val="11"/>
      <color theme="1"/>
      <name val="Times New Roman"/>
      <charset val="134"/>
      <scheme val="minor"/>
    </font>
    <font>
      <u/>
      <sz val="11"/>
      <color rgb="FF0000FF"/>
      <name val="Times New Roman"/>
      <charset val="0"/>
      <scheme val="minor"/>
    </font>
    <font>
      <u/>
      <sz val="11"/>
      <color rgb="FF800080"/>
      <name val="Times New Roman"/>
      <charset val="0"/>
      <scheme val="minor"/>
    </font>
    <font>
      <sz val="11"/>
      <color rgb="FFFF0000"/>
      <name val="Times New Roman"/>
      <charset val="0"/>
      <scheme val="minor"/>
    </font>
    <font>
      <b/>
      <sz val="18"/>
      <color theme="3"/>
      <name val="Times New Roman"/>
      <charset val="134"/>
      <scheme val="minor"/>
    </font>
    <font>
      <i/>
      <sz val="11"/>
      <color rgb="FF7F7F7F"/>
      <name val="Times New Roman"/>
      <charset val="0"/>
      <scheme val="minor"/>
    </font>
    <font>
      <b/>
      <sz val="15"/>
      <color theme="3"/>
      <name val="Times New Roman"/>
      <charset val="134"/>
      <scheme val="minor"/>
    </font>
    <font>
      <b/>
      <sz val="13"/>
      <color theme="3"/>
      <name val="Times New Roman"/>
      <charset val="134"/>
      <scheme val="minor"/>
    </font>
    <font>
      <b/>
      <sz val="11"/>
      <color theme="3"/>
      <name val="Times New Roman"/>
      <charset val="134"/>
      <scheme val="minor"/>
    </font>
    <font>
      <sz val="11"/>
      <color rgb="FF3F3F76"/>
      <name val="Times New Roman"/>
      <charset val="0"/>
      <scheme val="minor"/>
    </font>
    <font>
      <b/>
      <sz val="11"/>
      <color rgb="FF3F3F3F"/>
      <name val="Times New Roman"/>
      <charset val="0"/>
      <scheme val="minor"/>
    </font>
    <font>
      <b/>
      <sz val="11"/>
      <color rgb="FFFA7D00"/>
      <name val="Times New Roman"/>
      <charset val="0"/>
      <scheme val="minor"/>
    </font>
    <font>
      <b/>
      <sz val="11"/>
      <color rgb="FFFFFFFF"/>
      <name val="Times New Roman"/>
      <charset val="0"/>
      <scheme val="minor"/>
    </font>
    <font>
      <sz val="11"/>
      <color rgb="FFFA7D00"/>
      <name val="Times New Roman"/>
      <charset val="0"/>
      <scheme val="minor"/>
    </font>
    <font>
      <b/>
      <sz val="11"/>
      <color theme="1"/>
      <name val="Times New Roman"/>
      <charset val="0"/>
      <scheme val="minor"/>
    </font>
    <font>
      <sz val="11"/>
      <color rgb="FF006100"/>
      <name val="Times New Roman"/>
      <charset val="0"/>
      <scheme val="minor"/>
    </font>
    <font>
      <sz val="11"/>
      <color rgb="FF9C0006"/>
      <name val="Times New Roman"/>
      <charset val="0"/>
      <scheme val="minor"/>
    </font>
    <font>
      <sz val="11"/>
      <color rgb="FF9C6500"/>
      <name val="Times New Roman"/>
      <charset val="0"/>
      <scheme val="minor"/>
    </font>
    <font>
      <sz val="11"/>
      <color theme="0"/>
      <name val="Times New Roman"/>
      <charset val="0"/>
      <scheme val="minor"/>
    </font>
    <font>
      <sz val="11"/>
      <color theme="1"/>
      <name val="Times New Roman"/>
      <charset val="0"/>
      <scheme val="minor"/>
    </font>
    <font>
      <sz val="9"/>
      <color rgb="FF000000"/>
      <name val="Droid Sans Fallback"/>
      <charset val="134"/>
    </font>
    <font>
      <b/>
      <sz val="9"/>
      <color rgb="FF000000"/>
      <name val="Times New Roman"/>
      <charset val="134"/>
    </font>
    <font>
      <sz val="10"/>
      <color rgb="FFCC0000"/>
      <name val="Calibri"/>
      <charset val="134"/>
    </font>
    <font>
      <b/>
      <sz val="9"/>
      <color rgb="FFFF0000"/>
      <name val="Noto Sans CJK HK"/>
      <charset val="134"/>
    </font>
    <font>
      <b/>
      <sz val="9"/>
      <color rgb="FFFF0000"/>
      <name val="Times New Roman"/>
      <charset val="134"/>
    </font>
    <font>
      <b/>
      <sz val="9"/>
      <color rgb="FF000000"/>
      <name val="Noto Sans CJK HK"/>
      <charset val="134"/>
    </font>
    <font>
      <b/>
      <sz val="10"/>
      <color theme="1"/>
      <name val="Times New Roman"/>
      <charset val="134"/>
    </font>
    <font>
      <sz val="9"/>
      <color rgb="FFFF0000"/>
      <name val="Droid Sans Fallback"/>
      <charset val="134"/>
    </font>
    <font>
      <b/>
      <sz val="10"/>
      <color rgb="FF000000"/>
      <name val="Calibri"/>
      <charset val="134"/>
    </font>
  </fonts>
  <fills count="54">
    <fill>
      <patternFill patternType="none"/>
    </fill>
    <fill>
      <patternFill patternType="gray125"/>
    </fill>
    <fill>
      <patternFill patternType="solid">
        <fgColor rgb="FFB4C5E7"/>
        <bgColor rgb="FFB4C5E7"/>
      </patternFill>
    </fill>
    <fill>
      <patternFill patternType="solid">
        <fgColor rgb="FFF8CAAC"/>
        <bgColor rgb="FFF8CAAC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E6B8AF"/>
        <bgColor rgb="FFE6B8AF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DD7E6B"/>
        <bgColor rgb="FFDD7E6B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theme="6"/>
        <bgColor theme="6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79646"/>
        <bgColor rgb="FFF79646"/>
      </patternFill>
    </fill>
    <fill>
      <patternFill patternType="solid">
        <fgColor rgb="FFFF0000"/>
        <bgColor rgb="FFFF0000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3" fillId="0" borderId="0" applyFont="0" applyFill="0" applyBorder="0" applyAlignment="0" applyProtection="0">
      <alignment vertical="center"/>
    </xf>
    <xf numFmtId="44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23" borderId="16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24" borderId="19" applyNumberFormat="0" applyAlignment="0" applyProtection="0">
      <alignment vertical="center"/>
    </xf>
    <xf numFmtId="0" fontId="43" fillId="25" borderId="20" applyNumberFormat="0" applyAlignment="0" applyProtection="0">
      <alignment vertical="center"/>
    </xf>
    <xf numFmtId="0" fontId="44" fillId="25" borderId="19" applyNumberFormat="0" applyAlignment="0" applyProtection="0">
      <alignment vertical="center"/>
    </xf>
    <xf numFmtId="0" fontId="45" fillId="26" borderId="21" applyNumberFormat="0" applyAlignment="0" applyProtection="0">
      <alignment vertical="center"/>
    </xf>
    <xf numFmtId="0" fontId="46" fillId="0" borderId="22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51" fillId="4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1" fillId="45" borderId="0" applyNumberFormat="0" applyBorder="0" applyAlignment="0" applyProtection="0">
      <alignment vertical="center"/>
    </xf>
    <xf numFmtId="0" fontId="51" fillId="46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2" fillId="48" borderId="0" applyNumberFormat="0" applyBorder="0" applyAlignment="0" applyProtection="0">
      <alignment vertical="center"/>
    </xf>
    <xf numFmtId="0" fontId="51" fillId="49" borderId="0" applyNumberFormat="0" applyBorder="0" applyAlignment="0" applyProtection="0">
      <alignment vertical="center"/>
    </xf>
    <xf numFmtId="0" fontId="51" fillId="50" borderId="0" applyNumberFormat="0" applyBorder="0" applyAlignment="0" applyProtection="0">
      <alignment vertical="center"/>
    </xf>
    <xf numFmtId="0" fontId="52" fillId="51" borderId="0" applyNumberFormat="0" applyBorder="0" applyAlignment="0" applyProtection="0">
      <alignment vertical="center"/>
    </xf>
    <xf numFmtId="0" fontId="52" fillId="52" borderId="0" applyNumberFormat="0" applyBorder="0" applyAlignment="0" applyProtection="0">
      <alignment vertical="center"/>
    </xf>
    <xf numFmtId="0" fontId="51" fillId="53" borderId="0" applyNumberFormat="0" applyBorder="0" applyAlignment="0" applyProtection="0">
      <alignment vertical="center"/>
    </xf>
  </cellStyleXfs>
  <cellXfs count="20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 wrapText="1"/>
    </xf>
    <xf numFmtId="0" fontId="2" fillId="0" borderId="2" xfId="0" applyFont="1" applyBorder="1"/>
    <xf numFmtId="0" fontId="3" fillId="3" borderId="3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/>
    </xf>
    <xf numFmtId="1" fontId="1" fillId="0" borderId="3" xfId="0" applyNumberFormat="1" applyFont="1" applyBorder="1" applyAlignment="1">
      <alignment horizontal="center" vertical="top" shrinkToFit="1"/>
    </xf>
    <xf numFmtId="0" fontId="1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wrapText="1"/>
    </xf>
    <xf numFmtId="0" fontId="2" fillId="0" borderId="4" xfId="0" applyFont="1" applyBorder="1"/>
    <xf numFmtId="0" fontId="1" fillId="3" borderId="3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5" xfId="0" applyFont="1" applyBorder="1"/>
    <xf numFmtId="0" fontId="1" fillId="2" borderId="1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top" wrapText="1"/>
    </xf>
    <xf numFmtId="0" fontId="2" fillId="0" borderId="9" xfId="0" applyFont="1" applyBorder="1"/>
    <xf numFmtId="0" fontId="2" fillId="0" borderId="7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8" xfId="0" applyFont="1" applyBorder="1"/>
    <xf numFmtId="0" fontId="1" fillId="0" borderId="3" xfId="0" applyFont="1" applyBorder="1" applyAlignment="1">
      <alignment horizontal="right" vertical="top" wrapText="1"/>
    </xf>
    <xf numFmtId="0" fontId="1" fillId="0" borderId="7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5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top" wrapText="1"/>
    </xf>
    <xf numFmtId="0" fontId="4" fillId="4" borderId="3" xfId="0" applyFont="1" applyFill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" fillId="0" borderId="13" xfId="0" applyFont="1" applyBorder="1" applyAlignment="1">
      <alignment horizontal="left" wrapText="1"/>
    </xf>
    <xf numFmtId="0" fontId="1" fillId="0" borderId="14" xfId="0" applyFont="1" applyBorder="1" applyAlignment="1">
      <alignment horizontal="left" wrapText="1"/>
    </xf>
    <xf numFmtId="0" fontId="6" fillId="0" borderId="0" xfId="0" applyFont="1"/>
    <xf numFmtId="0" fontId="1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7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/>
    </xf>
    <xf numFmtId="3" fontId="10" fillId="0" borderId="1" xfId="0" applyNumberFormat="1" applyFont="1" applyBorder="1" applyAlignment="1">
      <alignment horizontal="center" vertical="center"/>
    </xf>
    <xf numFmtId="3" fontId="10" fillId="0" borderId="6" xfId="0" applyNumberFormat="1" applyFont="1" applyBorder="1" applyAlignment="1">
      <alignment horizontal="center" vertical="center"/>
    </xf>
    <xf numFmtId="3" fontId="10" fillId="0" borderId="7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2" fillId="0" borderId="3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3" xfId="0" applyFont="1" applyBorder="1" applyAlignment="1"/>
    <xf numFmtId="0" fontId="14" fillId="0" borderId="3" xfId="0" applyFont="1" applyBorder="1"/>
    <xf numFmtId="176" fontId="15" fillId="0" borderId="3" xfId="0" applyNumberFormat="1" applyFont="1" applyBorder="1" applyAlignment="1">
      <alignment horizontal="left" vertical="center"/>
    </xf>
    <xf numFmtId="0" fontId="16" fillId="0" borderId="3" xfId="0" applyFont="1" applyBorder="1" applyAlignment="1">
      <alignment horizontal="left"/>
    </xf>
    <xf numFmtId="176" fontId="16" fillId="0" borderId="3" xfId="0" applyNumberFormat="1" applyFont="1" applyBorder="1" applyAlignment="1">
      <alignment horizontal="left"/>
    </xf>
    <xf numFmtId="0" fontId="17" fillId="0" borderId="3" xfId="0" applyFont="1" applyBorder="1" applyAlignment="1"/>
    <xf numFmtId="0" fontId="18" fillId="5" borderId="0" xfId="0" applyFont="1" applyFill="1" applyAlignment="1">
      <alignment horizontal="center"/>
    </xf>
    <xf numFmtId="0" fontId="14" fillId="0" borderId="0" xfId="0" applyFont="1" applyAlignment="1"/>
    <xf numFmtId="176" fontId="14" fillId="0" borderId="0" xfId="0" applyNumberFormat="1" applyFont="1" applyAlignment="1"/>
    <xf numFmtId="0" fontId="19" fillId="0" borderId="0" xfId="0" applyFont="1" applyAlignment="1"/>
    <xf numFmtId="176" fontId="14" fillId="0" borderId="0" xfId="0" applyNumberFormat="1" applyFont="1"/>
    <xf numFmtId="10" fontId="14" fillId="0" borderId="0" xfId="0" applyNumberFormat="1" applyFont="1" applyAlignment="1"/>
    <xf numFmtId="0" fontId="20" fillId="0" borderId="0" xfId="0" applyFont="1" applyAlignment="1">
      <alignment vertical="center"/>
    </xf>
    <xf numFmtId="0" fontId="15" fillId="0" borderId="3" xfId="0" applyFont="1" applyBorder="1" applyAlignment="1">
      <alignment horizontal="left" vertical="center"/>
    </xf>
    <xf numFmtId="0" fontId="21" fillId="6" borderId="3" xfId="0" applyFont="1" applyFill="1" applyBorder="1" applyAlignment="1">
      <alignment horizontal="left" vertical="center"/>
    </xf>
    <xf numFmtId="0" fontId="21" fillId="6" borderId="3" xfId="0" applyFont="1" applyFill="1" applyBorder="1" applyAlignment="1"/>
    <xf numFmtId="0" fontId="21" fillId="0" borderId="3" xfId="0" applyFont="1" applyBorder="1" applyAlignment="1">
      <alignment horizontal="left" vertical="center"/>
    </xf>
    <xf numFmtId="0" fontId="21" fillId="7" borderId="3" xfId="0" applyFont="1" applyFill="1" applyBorder="1" applyAlignment="1">
      <alignment horizontal="left" vertical="center"/>
    </xf>
    <xf numFmtId="0" fontId="21" fillId="7" borderId="3" xfId="0" applyFont="1" applyFill="1" applyBorder="1" applyAlignment="1">
      <alignment vertical="center"/>
    </xf>
    <xf numFmtId="0" fontId="21" fillId="8" borderId="3" xfId="0" applyFont="1" applyFill="1" applyBorder="1" applyAlignment="1">
      <alignment horizontal="left" vertical="center"/>
    </xf>
    <xf numFmtId="176" fontId="22" fillId="0" borderId="3" xfId="0" applyNumberFormat="1" applyFont="1" applyBorder="1" applyAlignment="1">
      <alignment horizontal="left" vertical="center"/>
    </xf>
    <xf numFmtId="0" fontId="21" fillId="0" borderId="3" xfId="0" applyFont="1" applyBorder="1" applyAlignment="1">
      <alignment vertical="center"/>
    </xf>
    <xf numFmtId="0" fontId="21" fillId="9" borderId="3" xfId="0" applyFont="1" applyFill="1" applyBorder="1" applyAlignment="1">
      <alignment horizontal="left" vertical="center"/>
    </xf>
    <xf numFmtId="176" fontId="15" fillId="9" borderId="3" xfId="0" applyNumberFormat="1" applyFont="1" applyFill="1" applyBorder="1" applyAlignment="1">
      <alignment horizontal="left" vertical="center"/>
    </xf>
    <xf numFmtId="0" fontId="21" fillId="10" borderId="3" xfId="0" applyFont="1" applyFill="1" applyBorder="1" applyAlignment="1">
      <alignment horizontal="left" vertical="center"/>
    </xf>
    <xf numFmtId="176" fontId="15" fillId="10" borderId="3" xfId="0" applyNumberFormat="1" applyFont="1" applyFill="1" applyBorder="1" applyAlignment="1">
      <alignment horizontal="left" vertical="center"/>
    </xf>
    <xf numFmtId="0" fontId="21" fillId="11" borderId="3" xfId="0" applyFont="1" applyFill="1" applyBorder="1" applyAlignment="1">
      <alignment horizontal="left" vertical="center"/>
    </xf>
    <xf numFmtId="0" fontId="21" fillId="12" borderId="3" xfId="0" applyFont="1" applyFill="1" applyBorder="1" applyAlignment="1">
      <alignment horizontal="left" vertical="center"/>
    </xf>
    <xf numFmtId="0" fontId="21" fillId="13" borderId="3" xfId="0" applyFont="1" applyFill="1" applyBorder="1" applyAlignment="1">
      <alignment horizontal="left" vertical="center"/>
    </xf>
    <xf numFmtId="176" fontId="15" fillId="13" borderId="3" xfId="0" applyNumberFormat="1" applyFont="1" applyFill="1" applyBorder="1" applyAlignment="1">
      <alignment horizontal="left" vertical="center"/>
    </xf>
    <xf numFmtId="0" fontId="15" fillId="13" borderId="3" xfId="0" applyFont="1" applyFill="1" applyBorder="1" applyAlignment="1">
      <alignment vertical="center"/>
    </xf>
    <xf numFmtId="0" fontId="21" fillId="14" borderId="3" xfId="0" applyFont="1" applyFill="1" applyBorder="1" applyAlignment="1">
      <alignment vertical="center"/>
    </xf>
    <xf numFmtId="176" fontId="15" fillId="14" borderId="3" xfId="0" applyNumberFormat="1" applyFont="1" applyFill="1" applyBorder="1" applyAlignment="1">
      <alignment horizontal="left" vertical="center"/>
    </xf>
    <xf numFmtId="0" fontId="23" fillId="14" borderId="3" xfId="0" applyFont="1" applyFill="1" applyBorder="1" applyAlignment="1">
      <alignment vertical="center"/>
    </xf>
    <xf numFmtId="0" fontId="21" fillId="15" borderId="3" xfId="0" applyFont="1" applyFill="1" applyBorder="1" applyAlignment="1">
      <alignment vertical="center"/>
    </xf>
    <xf numFmtId="0" fontId="23" fillId="15" borderId="3" xfId="0" applyFont="1" applyFill="1" applyBorder="1" applyAlignment="1">
      <alignment vertical="center"/>
    </xf>
    <xf numFmtId="176" fontId="23" fillId="0" borderId="3" xfId="0" applyNumberFormat="1" applyFont="1" applyBorder="1" applyAlignment="1">
      <alignment horizontal="left" vertical="center"/>
    </xf>
    <xf numFmtId="0" fontId="21" fillId="0" borderId="3" xfId="0" applyFont="1" applyBorder="1" applyAlignment="1">
      <alignment horizontal="left"/>
    </xf>
    <xf numFmtId="176" fontId="21" fillId="0" borderId="5" xfId="0" applyNumberFormat="1" applyFont="1" applyBorder="1" applyAlignment="1">
      <alignment horizontal="left"/>
    </xf>
    <xf numFmtId="0" fontId="24" fillId="0" borderId="0" xfId="0" applyFont="1" applyAlignment="1">
      <alignment vertical="center"/>
    </xf>
    <xf numFmtId="0" fontId="25" fillId="16" borderId="3" xfId="0" applyFont="1" applyFill="1" applyBorder="1" applyAlignment="1">
      <alignment horizontal="left" vertical="center"/>
    </xf>
    <xf numFmtId="0" fontId="25" fillId="12" borderId="3" xfId="0" applyFont="1" applyFill="1" applyBorder="1" applyAlignment="1">
      <alignment horizontal="left" vertical="center"/>
    </xf>
    <xf numFmtId="176" fontId="25" fillId="16" borderId="3" xfId="0" applyNumberFormat="1" applyFont="1" applyFill="1" applyBorder="1" applyAlignment="1">
      <alignment horizontal="left" vertical="center"/>
    </xf>
    <xf numFmtId="177" fontId="15" fillId="0" borderId="3" xfId="0" applyNumberFormat="1" applyFont="1" applyBorder="1" applyAlignment="1">
      <alignment horizontal="left" vertical="center"/>
    </xf>
    <xf numFmtId="176" fontId="25" fillId="12" borderId="3" xfId="0" applyNumberFormat="1" applyFont="1" applyFill="1" applyBorder="1" applyAlignment="1">
      <alignment horizontal="left" vertical="center"/>
    </xf>
    <xf numFmtId="177" fontId="15" fillId="17" borderId="3" xfId="0" applyNumberFormat="1" applyFont="1" applyFill="1" applyBorder="1" applyAlignment="1">
      <alignment horizontal="left" vertical="center"/>
    </xf>
    <xf numFmtId="177" fontId="15" fillId="9" borderId="3" xfId="0" applyNumberFormat="1" applyFont="1" applyFill="1" applyBorder="1" applyAlignment="1">
      <alignment horizontal="left" vertical="center"/>
    </xf>
    <xf numFmtId="177" fontId="15" fillId="10" borderId="3" xfId="0" applyNumberFormat="1" applyFont="1" applyFill="1" applyBorder="1" applyAlignment="1">
      <alignment horizontal="left" vertical="center"/>
    </xf>
    <xf numFmtId="176" fontId="25" fillId="10" borderId="3" xfId="0" applyNumberFormat="1" applyFont="1" applyFill="1" applyBorder="1" applyAlignment="1">
      <alignment horizontal="left" vertical="center"/>
    </xf>
    <xf numFmtId="177" fontId="15" fillId="13" borderId="3" xfId="0" applyNumberFormat="1" applyFont="1" applyFill="1" applyBorder="1" applyAlignment="1">
      <alignment horizontal="left" vertical="center"/>
    </xf>
    <xf numFmtId="176" fontId="25" fillId="13" borderId="3" xfId="0" applyNumberFormat="1" applyFont="1" applyFill="1" applyBorder="1" applyAlignment="1">
      <alignment horizontal="left" vertical="center"/>
    </xf>
    <xf numFmtId="177" fontId="15" fillId="14" borderId="3" xfId="0" applyNumberFormat="1" applyFont="1" applyFill="1" applyBorder="1" applyAlignment="1">
      <alignment horizontal="left" vertical="center"/>
    </xf>
    <xf numFmtId="176" fontId="25" fillId="14" borderId="3" xfId="0" applyNumberFormat="1" applyFont="1" applyFill="1" applyBorder="1" applyAlignment="1">
      <alignment horizontal="left" vertical="center"/>
    </xf>
    <xf numFmtId="176" fontId="23" fillId="16" borderId="3" xfId="0" applyNumberFormat="1" applyFont="1" applyFill="1" applyBorder="1" applyAlignment="1">
      <alignment horizontal="left" vertical="center"/>
    </xf>
    <xf numFmtId="177" fontId="23" fillId="0" borderId="3" xfId="0" applyNumberFormat="1" applyFont="1" applyBorder="1" applyAlignment="1">
      <alignment horizontal="left" vertical="center"/>
    </xf>
    <xf numFmtId="176" fontId="23" fillId="12" borderId="3" xfId="0" applyNumberFormat="1" applyFont="1" applyFill="1" applyBorder="1" applyAlignment="1">
      <alignment horizontal="left" vertical="center"/>
    </xf>
    <xf numFmtId="176" fontId="25" fillId="16" borderId="5" xfId="0" applyNumberFormat="1" applyFont="1" applyFill="1" applyBorder="1" applyAlignment="1">
      <alignment horizontal="left"/>
    </xf>
    <xf numFmtId="177" fontId="21" fillId="0" borderId="5" xfId="0" applyNumberFormat="1" applyFont="1" applyBorder="1" applyAlignment="1">
      <alignment horizontal="left"/>
    </xf>
    <xf numFmtId="176" fontId="25" fillId="18" borderId="5" xfId="0" applyNumberFormat="1" applyFont="1" applyFill="1" applyBorder="1" applyAlignment="1">
      <alignment horizontal="left"/>
    </xf>
    <xf numFmtId="0" fontId="23" fillId="0" borderId="3" xfId="0" applyFont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10" fontId="15" fillId="0" borderId="3" xfId="0" applyNumberFormat="1" applyFont="1" applyBorder="1" applyAlignment="1">
      <alignment horizontal="left" vertical="center"/>
    </xf>
    <xf numFmtId="10" fontId="15" fillId="9" borderId="3" xfId="0" applyNumberFormat="1" applyFont="1" applyFill="1" applyBorder="1" applyAlignment="1">
      <alignment horizontal="left" vertical="center"/>
    </xf>
    <xf numFmtId="10" fontId="15" fillId="10" borderId="3" xfId="0" applyNumberFormat="1" applyFont="1" applyFill="1" applyBorder="1" applyAlignment="1">
      <alignment horizontal="left" vertical="center"/>
    </xf>
    <xf numFmtId="10" fontId="15" fillId="13" borderId="3" xfId="0" applyNumberFormat="1" applyFont="1" applyFill="1" applyBorder="1" applyAlignment="1">
      <alignment horizontal="left" vertical="center"/>
    </xf>
    <xf numFmtId="10" fontId="15" fillId="14" borderId="3" xfId="0" applyNumberFormat="1" applyFont="1" applyFill="1" applyBorder="1" applyAlignment="1">
      <alignment horizontal="left" vertical="center"/>
    </xf>
    <xf numFmtId="10" fontId="23" fillId="0" borderId="3" xfId="0" applyNumberFormat="1" applyFont="1" applyBorder="1" applyAlignment="1">
      <alignment horizontal="left" vertical="center"/>
    </xf>
    <xf numFmtId="10" fontId="21" fillId="0" borderId="5" xfId="0" applyNumberFormat="1" applyFont="1" applyBorder="1" applyAlignment="1">
      <alignment horizontal="left"/>
    </xf>
    <xf numFmtId="0" fontId="27" fillId="0" borderId="3" xfId="0" applyFont="1" applyBorder="1" applyAlignment="1">
      <alignment horizontal="left" vertical="center"/>
    </xf>
    <xf numFmtId="0" fontId="28" fillId="0" borderId="3" xfId="0" applyFont="1" applyBorder="1" applyAlignment="1">
      <alignment horizontal="left" vertical="center"/>
    </xf>
    <xf numFmtId="0" fontId="21" fillId="0" borderId="3" xfId="0" applyFont="1" applyBorder="1" applyAlignment="1">
      <alignment vertical="center" wrapText="1"/>
    </xf>
    <xf numFmtId="0" fontId="15" fillId="9" borderId="3" xfId="0" applyFont="1" applyFill="1" applyBorder="1" applyAlignment="1">
      <alignment horizontal="left" vertical="center"/>
    </xf>
    <xf numFmtId="0" fontId="21" fillId="9" borderId="3" xfId="0" applyFont="1" applyFill="1" applyBorder="1" applyAlignment="1">
      <alignment vertical="center"/>
    </xf>
    <xf numFmtId="0" fontId="15" fillId="10" borderId="3" xfId="0" applyFont="1" applyFill="1" applyBorder="1" applyAlignment="1">
      <alignment horizontal="left" vertical="center"/>
    </xf>
    <xf numFmtId="0" fontId="21" fillId="10" borderId="3" xfId="0" applyFont="1" applyFill="1" applyBorder="1" applyAlignment="1">
      <alignment vertical="center"/>
    </xf>
    <xf numFmtId="0" fontId="21" fillId="13" borderId="3" xfId="0" applyFont="1" applyFill="1" applyBorder="1" applyAlignment="1">
      <alignment vertical="center"/>
    </xf>
    <xf numFmtId="0" fontId="21" fillId="13" borderId="3" xfId="0" applyFont="1" applyFill="1" applyBorder="1" applyAlignment="1">
      <alignment vertical="center" wrapText="1"/>
    </xf>
    <xf numFmtId="0" fontId="23" fillId="0" borderId="3" xfId="0" applyFont="1" applyBorder="1" applyAlignment="1">
      <alignment vertical="center"/>
    </xf>
    <xf numFmtId="0" fontId="21" fillId="0" borderId="5" xfId="0" applyFont="1" applyBorder="1" applyAlignment="1">
      <alignment horizontal="left" wrapText="1"/>
    </xf>
    <xf numFmtId="0" fontId="29" fillId="0" borderId="5" xfId="0" applyFont="1" applyBorder="1" applyAlignment="1">
      <alignment horizontal="left"/>
    </xf>
    <xf numFmtId="9" fontId="20" fillId="0" borderId="0" xfId="0" applyNumberFormat="1" applyFont="1" applyAlignment="1">
      <alignment horizontal="left" vertical="center"/>
    </xf>
    <xf numFmtId="9" fontId="20" fillId="0" borderId="3" xfId="0" applyNumberFormat="1" applyFont="1" applyBorder="1" applyAlignment="1">
      <alignment horizontal="left" vertical="center"/>
    </xf>
    <xf numFmtId="0" fontId="20" fillId="0" borderId="3" xfId="0" applyFont="1" applyBorder="1" applyAlignment="1">
      <alignment vertical="center"/>
    </xf>
    <xf numFmtId="9" fontId="28" fillId="0" borderId="3" xfId="0" applyNumberFormat="1" applyFont="1" applyBorder="1" applyAlignment="1">
      <alignment horizontal="left" vertical="center"/>
    </xf>
    <xf numFmtId="9" fontId="15" fillId="0" borderId="3" xfId="0" applyNumberFormat="1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vertical="center"/>
    </xf>
    <xf numFmtId="0" fontId="20" fillId="9" borderId="3" xfId="0" applyFont="1" applyFill="1" applyBorder="1" applyAlignment="1">
      <alignment horizontal="left" vertical="center"/>
    </xf>
    <xf numFmtId="9" fontId="20" fillId="9" borderId="3" xfId="0" applyNumberFormat="1" applyFont="1" applyFill="1" applyBorder="1" applyAlignment="1">
      <alignment horizontal="left" vertical="center"/>
    </xf>
    <xf numFmtId="0" fontId="20" fillId="10" borderId="3" xfId="0" applyFont="1" applyFill="1" applyBorder="1" applyAlignment="1">
      <alignment horizontal="left" vertical="center"/>
    </xf>
    <xf numFmtId="9" fontId="20" fillId="10" borderId="3" xfId="0" applyNumberFormat="1" applyFont="1" applyFill="1" applyBorder="1" applyAlignment="1">
      <alignment horizontal="left" vertical="center"/>
    </xf>
    <xf numFmtId="9" fontId="20" fillId="13" borderId="3" xfId="0" applyNumberFormat="1" applyFont="1" applyFill="1" applyBorder="1" applyAlignment="1">
      <alignment horizontal="left" vertical="center"/>
    </xf>
    <xf numFmtId="0" fontId="15" fillId="14" borderId="3" xfId="0" applyFont="1" applyFill="1" applyBorder="1" applyAlignment="1">
      <alignment vertical="center"/>
    </xf>
    <xf numFmtId="9" fontId="20" fillId="14" borderId="3" xfId="0" applyNumberFormat="1" applyFont="1" applyFill="1" applyBorder="1" applyAlignment="1">
      <alignment horizontal="left" vertical="center"/>
    </xf>
    <xf numFmtId="0" fontId="15" fillId="14" borderId="3" xfId="0" applyFont="1" applyFill="1" applyBorder="1" applyAlignment="1">
      <alignment horizontal="left" vertical="center"/>
    </xf>
    <xf numFmtId="9" fontId="30" fillId="0" borderId="3" xfId="0" applyNumberFormat="1" applyFont="1" applyBorder="1" applyAlignment="1">
      <alignment horizontal="left" vertical="center"/>
    </xf>
    <xf numFmtId="9" fontId="29" fillId="0" borderId="5" xfId="0" applyNumberFormat="1" applyFont="1" applyBorder="1" applyAlignment="1">
      <alignment horizontal="left"/>
    </xf>
    <xf numFmtId="9" fontId="17" fillId="0" borderId="5" xfId="0" applyNumberFormat="1" applyFont="1" applyBorder="1" applyAlignment="1">
      <alignment horizontal="left"/>
    </xf>
    <xf numFmtId="178" fontId="20" fillId="0" borderId="3" xfId="0" applyNumberFormat="1" applyFont="1" applyBorder="1" applyAlignment="1">
      <alignment vertical="center"/>
    </xf>
    <xf numFmtId="178" fontId="28" fillId="0" borderId="3" xfId="0" applyNumberFormat="1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178" fontId="15" fillId="0" borderId="3" xfId="0" applyNumberFormat="1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178" fontId="15" fillId="9" borderId="3" xfId="0" applyNumberFormat="1" applyFont="1" applyFill="1" applyBorder="1" applyAlignment="1">
      <alignment horizontal="left" vertical="center"/>
    </xf>
    <xf numFmtId="0" fontId="15" fillId="9" borderId="0" xfId="0" applyFont="1" applyFill="1" applyAlignment="1">
      <alignment horizontal="left" vertical="center"/>
    </xf>
    <xf numFmtId="178" fontId="15" fillId="10" borderId="3" xfId="0" applyNumberFormat="1" applyFont="1" applyFill="1" applyBorder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178" fontId="15" fillId="13" borderId="3" xfId="0" applyNumberFormat="1" applyFont="1" applyFill="1" applyBorder="1" applyAlignment="1">
      <alignment horizontal="left" vertical="center"/>
    </xf>
    <xf numFmtId="0" fontId="15" fillId="13" borderId="3" xfId="0" applyFont="1" applyFill="1" applyBorder="1" applyAlignment="1">
      <alignment horizontal="left" vertical="center"/>
    </xf>
    <xf numFmtId="0" fontId="15" fillId="13" borderId="0" xfId="0" applyFont="1" applyFill="1" applyAlignment="1">
      <alignment horizontal="left" vertical="center"/>
    </xf>
    <xf numFmtId="178" fontId="15" fillId="14" borderId="3" xfId="0" applyNumberFormat="1" applyFont="1" applyFill="1" applyBorder="1" applyAlignment="1">
      <alignment horizontal="left" vertical="center"/>
    </xf>
    <xf numFmtId="0" fontId="15" fillId="14" borderId="0" xfId="0" applyFont="1" applyFill="1" applyAlignment="1">
      <alignment horizontal="left" vertical="center"/>
    </xf>
    <xf numFmtId="178" fontId="23" fillId="0" borderId="3" xfId="0" applyNumberFormat="1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178" fontId="21" fillId="0" borderId="5" xfId="0" applyNumberFormat="1" applyFont="1" applyBorder="1" applyAlignment="1">
      <alignment horizontal="left"/>
    </xf>
    <xf numFmtId="0" fontId="29" fillId="0" borderId="0" xfId="0" applyFont="1" applyAlignment="1">
      <alignment horizontal="left"/>
    </xf>
    <xf numFmtId="0" fontId="25" fillId="19" borderId="3" xfId="0" applyFont="1" applyFill="1" applyBorder="1" applyAlignment="1">
      <alignment vertical="center"/>
    </xf>
    <xf numFmtId="176" fontId="31" fillId="0" borderId="3" xfId="0" applyNumberFormat="1" applyFont="1" applyBorder="1" applyAlignment="1">
      <alignment horizontal="left" vertical="center"/>
    </xf>
    <xf numFmtId="0" fontId="15" fillId="17" borderId="3" xfId="0" applyFont="1" applyFill="1" applyBorder="1" applyAlignment="1">
      <alignment vertical="center"/>
    </xf>
    <xf numFmtId="0" fontId="25" fillId="20" borderId="3" xfId="0" applyFont="1" applyFill="1" applyBorder="1" applyAlignment="1">
      <alignment vertical="center"/>
    </xf>
    <xf numFmtId="0" fontId="25" fillId="20" borderId="3" xfId="0" applyFont="1" applyFill="1" applyBorder="1" applyAlignment="1">
      <alignment horizontal="left" vertical="center"/>
    </xf>
    <xf numFmtId="0" fontId="15" fillId="21" borderId="3" xfId="0" applyFont="1" applyFill="1" applyBorder="1" applyAlignment="1">
      <alignment horizontal="left" vertical="center"/>
    </xf>
    <xf numFmtId="9" fontId="21" fillId="0" borderId="3" xfId="0" applyNumberFormat="1" applyFont="1" applyBorder="1" applyAlignment="1">
      <alignment horizontal="left" vertical="center"/>
    </xf>
    <xf numFmtId="0" fontId="32" fillId="0" borderId="3" xfId="0" applyFont="1" applyBorder="1" applyAlignment="1">
      <alignment vertical="center"/>
    </xf>
    <xf numFmtId="0" fontId="20" fillId="22" borderId="3" xfId="0" applyFont="1" applyFill="1" applyBorder="1" applyAlignment="1">
      <alignment vertical="center"/>
    </xf>
    <xf numFmtId="0" fontId="20" fillId="21" borderId="3" xfId="0" applyFont="1" applyFill="1" applyBorder="1" applyAlignment="1">
      <alignment vertical="center"/>
    </xf>
    <xf numFmtId="0" fontId="25" fillId="16" borderId="3" xfId="0" applyFont="1" applyFill="1" applyBorder="1" applyAlignment="1">
      <alignment vertical="center"/>
    </xf>
    <xf numFmtId="176" fontId="25" fillId="16" borderId="0" xfId="0" applyNumberFormat="1" applyFont="1" applyFill="1" applyAlignment="1">
      <alignment horizontal="left"/>
    </xf>
    <xf numFmtId="0" fontId="24" fillId="16" borderId="0" xfId="0" applyFont="1" applyFill="1" applyAlignment="1">
      <alignment vertical="center"/>
    </xf>
    <xf numFmtId="0" fontId="24" fillId="12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32" fillId="0" borderId="0" xfId="0" applyFont="1" applyAlignment="1"/>
    <xf numFmtId="0" fontId="32" fillId="0" borderId="8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38100</xdr:colOff>
      <xdr:row>0</xdr:row>
      <xdr:rowOff>0</xdr:rowOff>
    </xdr:from>
    <xdr:ext cx="1514475" cy="438150"/>
    <xdr:pic>
      <xdr:nvPicPr>
        <xdr:cNvPr id="2" name="image1.png" title="图片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8100" y="0"/>
          <a:ext cx="1514475" cy="438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1138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B3" sqref="B3"/>
    </sheetView>
  </sheetViews>
  <sheetFormatPr defaultColWidth="14.4326923076923" defaultRowHeight="15.75" customHeight="1"/>
  <cols>
    <col min="1" max="1" width="110.432692307692" customWidth="1"/>
    <col min="2" max="2" width="28.5673076923077" customWidth="1"/>
    <col min="3" max="3" width="23.4326923076923" customWidth="1"/>
    <col min="4" max="4" width="11.8557692307692" customWidth="1"/>
    <col min="5" max="5" width="15" customWidth="1"/>
    <col min="6" max="6" width="15.2884615384615" customWidth="1"/>
    <col min="7" max="7" width="13.2884615384615" customWidth="1"/>
    <col min="8" max="9" width="13.7115384615385" customWidth="1"/>
    <col min="10" max="10" width="7.85576923076923" customWidth="1"/>
    <col min="11" max="11" width="13" customWidth="1"/>
    <col min="12" max="12" width="8" customWidth="1"/>
    <col min="13" max="13" width="12.2884615384615" customWidth="1"/>
    <col min="14" max="14" width="10.2884615384615" customWidth="1"/>
    <col min="15" max="15" width="69.1442307692308" customWidth="1"/>
    <col min="16" max="16" width="40" customWidth="1"/>
    <col min="17" max="17" width="170.144230769231" customWidth="1"/>
    <col min="18" max="18" width="10.5673076923077" customWidth="1"/>
    <col min="19" max="19" width="8.71153846153846" customWidth="1"/>
    <col min="20" max="21" width="12.4326923076923" customWidth="1"/>
    <col min="22" max="22" width="9.71153846153846" customWidth="1"/>
    <col min="23" max="23" width="8.71153846153846" customWidth="1"/>
    <col min="24" max="27" width="15" customWidth="1"/>
  </cols>
  <sheetData>
    <row r="1" ht="34.5" customHeight="1" spans="1:27">
      <c r="A1" s="87"/>
      <c r="B1" s="87"/>
      <c r="C1" s="87"/>
      <c r="D1" s="87"/>
      <c r="E1" s="114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155"/>
      <c r="S1" s="156"/>
      <c r="T1" s="157"/>
      <c r="U1" s="173"/>
      <c r="V1" s="157"/>
      <c r="W1" s="157"/>
      <c r="X1" s="87"/>
      <c r="Y1" s="87"/>
      <c r="Z1" s="87"/>
      <c r="AA1" s="87"/>
    </row>
    <row r="2" ht="12" customHeight="1" spans="1:27">
      <c r="A2" s="88" t="s">
        <v>0</v>
      </c>
      <c r="B2" s="88" t="s">
        <v>1</v>
      </c>
      <c r="C2" s="88" t="s">
        <v>2</v>
      </c>
      <c r="D2" s="88" t="s">
        <v>3</v>
      </c>
      <c r="E2" s="115" t="s">
        <v>4</v>
      </c>
      <c r="F2" s="88" t="s">
        <v>5</v>
      </c>
      <c r="G2" s="116" t="s">
        <v>6</v>
      </c>
      <c r="H2" s="88" t="s">
        <v>7</v>
      </c>
      <c r="I2" s="134" t="s">
        <v>8</v>
      </c>
      <c r="J2" s="134" t="s">
        <v>9</v>
      </c>
      <c r="K2" s="135" t="s">
        <v>10</v>
      </c>
      <c r="L2" s="135" t="s">
        <v>9</v>
      </c>
      <c r="M2" s="143" t="s">
        <v>11</v>
      </c>
      <c r="N2" s="143" t="s">
        <v>9</v>
      </c>
      <c r="O2" s="88" t="s">
        <v>12</v>
      </c>
      <c r="P2" s="144" t="s">
        <v>13</v>
      </c>
      <c r="Q2" s="144" t="s">
        <v>14</v>
      </c>
      <c r="R2" s="144" t="s">
        <v>15</v>
      </c>
      <c r="S2" s="158" t="s">
        <v>16</v>
      </c>
      <c r="T2" s="144" t="s">
        <v>17</v>
      </c>
      <c r="U2" s="174" t="s">
        <v>18</v>
      </c>
      <c r="V2" s="144" t="s">
        <v>19</v>
      </c>
      <c r="W2" s="144" t="s">
        <v>20</v>
      </c>
      <c r="X2" s="175"/>
      <c r="Y2" s="175"/>
      <c r="Z2" s="175"/>
      <c r="AA2" s="175"/>
    </row>
    <row r="3" ht="12" customHeight="1" spans="1:27">
      <c r="A3" s="89" t="s">
        <v>21</v>
      </c>
      <c r="B3" s="77"/>
      <c r="C3" s="77"/>
      <c r="D3" s="77">
        <v>400000</v>
      </c>
      <c r="E3" s="117">
        <v>450000</v>
      </c>
      <c r="F3" s="118">
        <v>225</v>
      </c>
      <c r="G3" s="119">
        <v>500000</v>
      </c>
      <c r="H3" s="118">
        <v>250</v>
      </c>
      <c r="I3" s="77"/>
      <c r="J3" s="136"/>
      <c r="K3" s="77"/>
      <c r="L3" s="136"/>
      <c r="M3" s="77"/>
      <c r="N3" s="136"/>
      <c r="O3" s="88"/>
      <c r="P3" s="88"/>
      <c r="Q3" s="88"/>
      <c r="R3" s="88"/>
      <c r="S3" s="159"/>
      <c r="T3" s="88"/>
      <c r="U3" s="176"/>
      <c r="V3" s="88"/>
      <c r="W3" s="88"/>
      <c r="X3" s="177"/>
      <c r="Y3" s="177"/>
      <c r="Z3" s="177"/>
      <c r="AA3" s="177"/>
    </row>
    <row r="4" ht="12" customHeight="1" spans="1:27">
      <c r="A4" s="89" t="s">
        <v>22</v>
      </c>
      <c r="B4" s="77" t="s">
        <v>23</v>
      </c>
      <c r="C4" s="77" t="s">
        <v>24</v>
      </c>
      <c r="D4" s="77">
        <v>520000</v>
      </c>
      <c r="E4" s="117">
        <v>650000</v>
      </c>
      <c r="F4" s="118">
        <f t="shared" ref="F4:F9" si="0">E4/2000</f>
        <v>325</v>
      </c>
      <c r="G4" s="119">
        <v>750000</v>
      </c>
      <c r="H4" s="118">
        <f t="shared" ref="H4:H9" si="1">G4/2000</f>
        <v>375</v>
      </c>
      <c r="I4" s="77">
        <f t="shared" ref="I4:I9" si="2">G4-E4</f>
        <v>100000</v>
      </c>
      <c r="J4" s="136">
        <f t="shared" ref="J4:J9" si="3">I4/E4</f>
        <v>0.153846153846154</v>
      </c>
      <c r="K4" s="77">
        <f t="shared" ref="K4:K9" si="4">E4-D4</f>
        <v>130000</v>
      </c>
      <c r="L4" s="136">
        <f t="shared" ref="L4:L9" si="5">K4/D4</f>
        <v>0.25</v>
      </c>
      <c r="M4" s="77">
        <f t="shared" ref="M4:M9" si="6">G4-D4</f>
        <v>230000</v>
      </c>
      <c r="N4" s="136">
        <f t="shared" ref="N4:N9" si="7">M4/D4</f>
        <v>0.442307692307692</v>
      </c>
      <c r="O4" s="88" t="s">
        <v>25</v>
      </c>
      <c r="P4" s="88" t="s">
        <v>26</v>
      </c>
      <c r="Q4" s="88" t="s">
        <v>27</v>
      </c>
      <c r="R4" s="88" t="s">
        <v>28</v>
      </c>
      <c r="S4" s="159">
        <v>0.07</v>
      </c>
      <c r="T4" s="77">
        <f t="shared" ref="T4:T8" si="8">D4*S4</f>
        <v>36400</v>
      </c>
      <c r="U4" s="176">
        <f t="shared" ref="U4:U8" si="9">T4/2200</f>
        <v>16.5454545454545</v>
      </c>
      <c r="V4" s="88">
        <v>50</v>
      </c>
      <c r="W4" s="176">
        <f t="shared" ref="W4:W8" si="10">U4*V4</f>
        <v>827.272727272727</v>
      </c>
      <c r="X4" s="177"/>
      <c r="Y4" s="177"/>
      <c r="Z4" s="177"/>
      <c r="AA4" s="177"/>
    </row>
    <row r="5" ht="12" customHeight="1" spans="1:27">
      <c r="A5" s="90" t="s">
        <v>29</v>
      </c>
      <c r="B5" s="77" t="s">
        <v>23</v>
      </c>
      <c r="C5" s="77" t="s">
        <v>30</v>
      </c>
      <c r="D5" s="77">
        <v>900000</v>
      </c>
      <c r="E5" s="117">
        <v>1400000</v>
      </c>
      <c r="F5" s="118">
        <f t="shared" si="0"/>
        <v>700</v>
      </c>
      <c r="G5" s="119">
        <v>1500000</v>
      </c>
      <c r="H5" s="118">
        <f t="shared" si="1"/>
        <v>750</v>
      </c>
      <c r="I5" s="77">
        <f t="shared" si="2"/>
        <v>100000</v>
      </c>
      <c r="J5" s="136">
        <f t="shared" si="3"/>
        <v>0.0714285714285714</v>
      </c>
      <c r="K5" s="77">
        <f t="shared" si="4"/>
        <v>500000</v>
      </c>
      <c r="L5" s="136">
        <f t="shared" si="5"/>
        <v>0.555555555555556</v>
      </c>
      <c r="M5" s="77">
        <f t="shared" si="6"/>
        <v>600000</v>
      </c>
      <c r="N5" s="136">
        <f t="shared" si="7"/>
        <v>0.666666666666667</v>
      </c>
      <c r="O5" s="88" t="s">
        <v>31</v>
      </c>
      <c r="P5" s="88" t="s">
        <v>26</v>
      </c>
      <c r="Q5" s="157"/>
      <c r="R5" s="160" t="s">
        <v>32</v>
      </c>
      <c r="S5" s="156">
        <v>0.07</v>
      </c>
      <c r="T5" s="77">
        <f t="shared" si="8"/>
        <v>63000</v>
      </c>
      <c r="U5" s="176">
        <f t="shared" si="9"/>
        <v>28.6363636363636</v>
      </c>
      <c r="V5" s="88">
        <v>10</v>
      </c>
      <c r="W5" s="176">
        <f t="shared" si="10"/>
        <v>286.363636363636</v>
      </c>
      <c r="X5" s="177"/>
      <c r="Y5" s="177"/>
      <c r="Z5" s="177"/>
      <c r="AA5" s="177"/>
    </row>
    <row r="6" ht="12" customHeight="1" spans="1:27">
      <c r="A6" s="90" t="s">
        <v>33</v>
      </c>
      <c r="B6" s="77" t="s">
        <v>23</v>
      </c>
      <c r="C6" s="77" t="s">
        <v>30</v>
      </c>
      <c r="D6" s="77">
        <v>400000</v>
      </c>
      <c r="E6" s="117">
        <v>600000</v>
      </c>
      <c r="F6" s="118">
        <f t="shared" si="0"/>
        <v>300</v>
      </c>
      <c r="G6" s="119">
        <v>800000</v>
      </c>
      <c r="H6" s="118">
        <f t="shared" si="1"/>
        <v>400</v>
      </c>
      <c r="I6" s="77">
        <f t="shared" si="2"/>
        <v>200000</v>
      </c>
      <c r="J6" s="136">
        <f t="shared" si="3"/>
        <v>0.333333333333333</v>
      </c>
      <c r="K6" s="77">
        <f t="shared" si="4"/>
        <v>200000</v>
      </c>
      <c r="L6" s="136">
        <f t="shared" si="5"/>
        <v>0.5</v>
      </c>
      <c r="M6" s="77">
        <f t="shared" si="6"/>
        <v>400000</v>
      </c>
      <c r="N6" s="136">
        <f t="shared" si="7"/>
        <v>1</v>
      </c>
      <c r="O6" s="88" t="s">
        <v>31</v>
      </c>
      <c r="P6" s="88" t="s">
        <v>26</v>
      </c>
      <c r="Q6" s="157"/>
      <c r="R6" s="160" t="s">
        <v>32</v>
      </c>
      <c r="S6" s="156">
        <v>0.07</v>
      </c>
      <c r="T6" s="77">
        <f t="shared" si="8"/>
        <v>28000</v>
      </c>
      <c r="U6" s="176">
        <f t="shared" si="9"/>
        <v>12.7272727272727</v>
      </c>
      <c r="V6" s="88">
        <v>10</v>
      </c>
      <c r="W6" s="176">
        <f t="shared" si="10"/>
        <v>127.272727272727</v>
      </c>
      <c r="X6" s="177"/>
      <c r="Y6" s="177"/>
      <c r="Z6" s="177"/>
      <c r="AA6" s="177"/>
    </row>
    <row r="7" ht="12" customHeight="1" spans="1:27">
      <c r="A7" s="90" t="s">
        <v>34</v>
      </c>
      <c r="B7" s="77" t="s">
        <v>23</v>
      </c>
      <c r="C7" s="77" t="s">
        <v>30</v>
      </c>
      <c r="D7" s="77">
        <v>700000</v>
      </c>
      <c r="E7" s="117">
        <v>900000</v>
      </c>
      <c r="F7" s="118">
        <f t="shared" si="0"/>
        <v>450</v>
      </c>
      <c r="G7" s="119">
        <v>1200000</v>
      </c>
      <c r="H7" s="118">
        <f t="shared" si="1"/>
        <v>600</v>
      </c>
      <c r="I7" s="77">
        <f t="shared" si="2"/>
        <v>300000</v>
      </c>
      <c r="J7" s="136">
        <f t="shared" si="3"/>
        <v>0.333333333333333</v>
      </c>
      <c r="K7" s="77">
        <f t="shared" si="4"/>
        <v>200000</v>
      </c>
      <c r="L7" s="136">
        <f t="shared" si="5"/>
        <v>0.285714285714286</v>
      </c>
      <c r="M7" s="77">
        <f t="shared" si="6"/>
        <v>500000</v>
      </c>
      <c r="N7" s="136">
        <f t="shared" si="7"/>
        <v>0.714285714285714</v>
      </c>
      <c r="O7" s="88" t="s">
        <v>31</v>
      </c>
      <c r="P7" s="88" t="s">
        <v>26</v>
      </c>
      <c r="Q7" s="157"/>
      <c r="R7" s="160" t="s">
        <v>32</v>
      </c>
      <c r="S7" s="156">
        <v>0.07</v>
      </c>
      <c r="T7" s="77">
        <f t="shared" si="8"/>
        <v>49000</v>
      </c>
      <c r="U7" s="176">
        <f t="shared" si="9"/>
        <v>22.2727272727273</v>
      </c>
      <c r="V7" s="88">
        <v>10</v>
      </c>
      <c r="W7" s="176">
        <f t="shared" si="10"/>
        <v>222.727272727273</v>
      </c>
      <c r="X7" s="177"/>
      <c r="Y7" s="177"/>
      <c r="Z7" s="177"/>
      <c r="AA7" s="177"/>
    </row>
    <row r="8" ht="12" customHeight="1" spans="1:27">
      <c r="A8" s="90" t="s">
        <v>35</v>
      </c>
      <c r="B8" s="77" t="s">
        <v>23</v>
      </c>
      <c r="C8" s="77" t="s">
        <v>36</v>
      </c>
      <c r="D8" s="77">
        <v>900000</v>
      </c>
      <c r="E8" s="117">
        <v>1400000</v>
      </c>
      <c r="F8" s="118">
        <f t="shared" si="0"/>
        <v>700</v>
      </c>
      <c r="G8" s="119">
        <v>1700000</v>
      </c>
      <c r="H8" s="118">
        <f t="shared" si="1"/>
        <v>850</v>
      </c>
      <c r="I8" s="77">
        <f t="shared" si="2"/>
        <v>300000</v>
      </c>
      <c r="J8" s="136">
        <f t="shared" si="3"/>
        <v>0.214285714285714</v>
      </c>
      <c r="K8" s="77">
        <f t="shared" si="4"/>
        <v>500000</v>
      </c>
      <c r="L8" s="136">
        <f t="shared" si="5"/>
        <v>0.555555555555556</v>
      </c>
      <c r="M8" s="77">
        <f t="shared" si="6"/>
        <v>800000</v>
      </c>
      <c r="N8" s="136">
        <f t="shared" si="7"/>
        <v>0.888888888888889</v>
      </c>
      <c r="O8" s="88" t="s">
        <v>37</v>
      </c>
      <c r="P8" s="96" t="s">
        <v>38</v>
      </c>
      <c r="Q8" s="157"/>
      <c r="R8" s="160" t="s">
        <v>38</v>
      </c>
      <c r="S8" s="156">
        <v>0.05</v>
      </c>
      <c r="T8" s="77">
        <f t="shared" si="8"/>
        <v>45000</v>
      </c>
      <c r="U8" s="176">
        <f t="shared" si="9"/>
        <v>20.4545454545455</v>
      </c>
      <c r="V8" s="88">
        <v>10</v>
      </c>
      <c r="W8" s="176">
        <f t="shared" si="10"/>
        <v>204.545454545455</v>
      </c>
      <c r="X8" s="177"/>
      <c r="Y8" s="177"/>
      <c r="Z8" s="177"/>
      <c r="AA8" s="177"/>
    </row>
    <row r="9" ht="12" customHeight="1" spans="1:27">
      <c r="A9" s="90" t="s">
        <v>39</v>
      </c>
      <c r="B9" s="77" t="s">
        <v>23</v>
      </c>
      <c r="C9" s="77" t="s">
        <v>40</v>
      </c>
      <c r="D9" s="77">
        <v>2000000</v>
      </c>
      <c r="E9" s="117">
        <v>2800000</v>
      </c>
      <c r="F9" s="118">
        <f t="shared" si="0"/>
        <v>1400</v>
      </c>
      <c r="G9" s="119">
        <v>3500000</v>
      </c>
      <c r="H9" s="118">
        <f t="shared" si="1"/>
        <v>1750</v>
      </c>
      <c r="I9" s="77">
        <f t="shared" si="2"/>
        <v>700000</v>
      </c>
      <c r="J9" s="136">
        <f t="shared" si="3"/>
        <v>0.25</v>
      </c>
      <c r="K9" s="77">
        <f t="shared" si="4"/>
        <v>800000</v>
      </c>
      <c r="L9" s="136">
        <f t="shared" si="5"/>
        <v>0.4</v>
      </c>
      <c r="M9" s="77">
        <f t="shared" si="6"/>
        <v>1500000</v>
      </c>
      <c r="N9" s="136">
        <f t="shared" si="7"/>
        <v>0.75</v>
      </c>
      <c r="O9" s="88" t="s">
        <v>41</v>
      </c>
      <c r="P9" s="96" t="s">
        <v>38</v>
      </c>
      <c r="Q9" s="157"/>
      <c r="R9" s="160"/>
      <c r="S9" s="156"/>
      <c r="T9" s="88"/>
      <c r="U9" s="176"/>
      <c r="V9" s="88"/>
      <c r="W9" s="88"/>
      <c r="X9" s="177"/>
      <c r="Y9" s="177"/>
      <c r="Z9" s="177"/>
      <c r="AA9" s="177"/>
    </row>
    <row r="10" ht="12" customHeight="1" spans="1:27">
      <c r="A10" s="91" t="s">
        <v>42</v>
      </c>
      <c r="B10" s="77"/>
      <c r="C10" s="77"/>
      <c r="D10" s="77">
        <v>7000000</v>
      </c>
      <c r="E10" s="117">
        <v>10000000</v>
      </c>
      <c r="F10" s="118">
        <v>5000</v>
      </c>
      <c r="G10" s="119">
        <v>12000000</v>
      </c>
      <c r="H10" s="118">
        <v>6000</v>
      </c>
      <c r="I10" s="77"/>
      <c r="J10" s="136"/>
      <c r="K10" s="77"/>
      <c r="L10" s="136"/>
      <c r="M10" s="77"/>
      <c r="N10" s="136"/>
      <c r="O10" s="88"/>
      <c r="P10" s="96"/>
      <c r="Q10" s="88"/>
      <c r="R10" s="160"/>
      <c r="S10" s="156"/>
      <c r="T10" s="88"/>
      <c r="U10" s="176"/>
      <c r="V10" s="88"/>
      <c r="W10" s="88"/>
      <c r="X10" s="177"/>
      <c r="Y10" s="177"/>
      <c r="Z10" s="177"/>
      <c r="AA10" s="177"/>
    </row>
    <row r="11" ht="12" customHeight="1" spans="1:27">
      <c r="A11" s="91" t="s">
        <v>43</v>
      </c>
      <c r="B11" s="77"/>
      <c r="C11" s="77"/>
      <c r="D11" s="77">
        <v>600000</v>
      </c>
      <c r="E11" s="117">
        <v>800000</v>
      </c>
      <c r="F11" s="118">
        <v>400</v>
      </c>
      <c r="G11" s="119">
        <v>1000000</v>
      </c>
      <c r="H11" s="118">
        <v>500</v>
      </c>
      <c r="I11" s="77"/>
      <c r="J11" s="136"/>
      <c r="K11" s="77"/>
      <c r="L11" s="136"/>
      <c r="M11" s="77"/>
      <c r="N11" s="136"/>
      <c r="O11" s="88"/>
      <c r="P11" s="96"/>
      <c r="Q11" s="88"/>
      <c r="R11" s="160"/>
      <c r="S11" s="156"/>
      <c r="T11" s="88"/>
      <c r="U11" s="176"/>
      <c r="V11" s="88"/>
      <c r="W11" s="88"/>
      <c r="X11" s="177"/>
      <c r="Y11" s="177"/>
      <c r="Z11" s="177"/>
      <c r="AA11" s="177"/>
    </row>
    <row r="12" ht="12" customHeight="1" spans="1:27">
      <c r="A12" s="91" t="s">
        <v>44</v>
      </c>
      <c r="B12" s="77"/>
      <c r="C12" s="77"/>
      <c r="D12" s="77">
        <v>700000</v>
      </c>
      <c r="E12" s="117">
        <v>1200000</v>
      </c>
      <c r="F12" s="118">
        <v>600</v>
      </c>
      <c r="G12" s="119">
        <v>1500000</v>
      </c>
      <c r="H12" s="118">
        <v>750</v>
      </c>
      <c r="I12" s="77"/>
      <c r="J12" s="136"/>
      <c r="K12" s="77"/>
      <c r="L12" s="136"/>
      <c r="M12" s="77"/>
      <c r="N12" s="136"/>
      <c r="O12" s="88"/>
      <c r="P12" s="96"/>
      <c r="Q12" s="88"/>
      <c r="R12" s="160"/>
      <c r="S12" s="156"/>
      <c r="T12" s="88"/>
      <c r="U12" s="176"/>
      <c r="V12" s="88"/>
      <c r="W12" s="88"/>
      <c r="X12" s="177"/>
      <c r="Y12" s="177"/>
      <c r="Z12" s="177"/>
      <c r="AA12" s="177"/>
    </row>
    <row r="13" ht="14.25" customHeight="1" spans="1:27">
      <c r="A13" s="92" t="s">
        <v>45</v>
      </c>
      <c r="B13" s="77" t="s">
        <v>23</v>
      </c>
      <c r="C13" s="77" t="s">
        <v>46</v>
      </c>
      <c r="D13" s="77">
        <f>4800000</f>
        <v>4800000</v>
      </c>
      <c r="E13" s="117">
        <v>5900000</v>
      </c>
      <c r="F13" s="118">
        <f t="shared" ref="F13:F17" si="11">E13/2000</f>
        <v>2950</v>
      </c>
      <c r="G13" s="119">
        <v>7000000</v>
      </c>
      <c r="H13" s="120">
        <f t="shared" ref="H13:H15" si="12">G13/2000</f>
        <v>3500</v>
      </c>
      <c r="I13" s="77">
        <f t="shared" ref="I13:I17" si="13">G13-E13</f>
        <v>1100000</v>
      </c>
      <c r="J13" s="136">
        <f t="shared" ref="J13:J17" si="14">I13/E13</f>
        <v>0.186440677966102</v>
      </c>
      <c r="K13" s="77">
        <f t="shared" ref="K13:K17" si="15">E13-D13</f>
        <v>1100000</v>
      </c>
      <c r="L13" s="136">
        <f t="shared" ref="L13:L17" si="16">K13/D13</f>
        <v>0.229166666666667</v>
      </c>
      <c r="M13" s="77">
        <f t="shared" ref="M13:M17" si="17">G13-D13</f>
        <v>2200000</v>
      </c>
      <c r="N13" s="136">
        <f t="shared" ref="N13:N17" si="18">M13/D13</f>
        <v>0.458333333333333</v>
      </c>
      <c r="O13" s="88" t="s">
        <v>25</v>
      </c>
      <c r="P13" s="96" t="s">
        <v>47</v>
      </c>
      <c r="Q13" s="161"/>
      <c r="R13" s="156"/>
      <c r="S13" s="156">
        <v>0.02</v>
      </c>
      <c r="T13" s="77">
        <f t="shared" ref="T13:T17" si="19">D13*S13</f>
        <v>96000</v>
      </c>
      <c r="U13" s="176">
        <f t="shared" ref="U13:U17" si="20">T13/2200</f>
        <v>43.6363636363636</v>
      </c>
      <c r="V13" s="88"/>
      <c r="W13" s="176">
        <f t="shared" ref="W13:W17" si="21">U13*V13</f>
        <v>0</v>
      </c>
      <c r="X13" s="177"/>
      <c r="Y13" s="177"/>
      <c r="Z13" s="177"/>
      <c r="AA13" s="177"/>
    </row>
    <row r="14" ht="14.25" customHeight="1" spans="1:27">
      <c r="A14" s="92" t="s">
        <v>48</v>
      </c>
      <c r="B14" s="77" t="s">
        <v>23</v>
      </c>
      <c r="C14" s="77" t="s">
        <v>49</v>
      </c>
      <c r="D14" s="77">
        <v>3500000</v>
      </c>
      <c r="E14" s="117">
        <v>4500000</v>
      </c>
      <c r="F14" s="118">
        <f t="shared" si="11"/>
        <v>2250</v>
      </c>
      <c r="G14" s="119">
        <v>5500000</v>
      </c>
      <c r="H14" s="120">
        <f t="shared" si="12"/>
        <v>2750</v>
      </c>
      <c r="I14" s="77">
        <f t="shared" si="13"/>
        <v>1000000</v>
      </c>
      <c r="J14" s="136">
        <f t="shared" si="14"/>
        <v>0.222222222222222</v>
      </c>
      <c r="K14" s="77">
        <f t="shared" si="15"/>
        <v>1000000</v>
      </c>
      <c r="L14" s="136">
        <f t="shared" si="16"/>
        <v>0.285714285714286</v>
      </c>
      <c r="M14" s="77">
        <f t="shared" si="17"/>
        <v>2000000</v>
      </c>
      <c r="N14" s="136">
        <f t="shared" si="18"/>
        <v>0.571428571428571</v>
      </c>
      <c r="O14" s="88" t="s">
        <v>25</v>
      </c>
      <c r="P14" s="96" t="s">
        <v>47</v>
      </c>
      <c r="Q14" s="161"/>
      <c r="R14" s="156"/>
      <c r="S14" s="156">
        <v>0.02</v>
      </c>
      <c r="T14" s="77">
        <f t="shared" si="19"/>
        <v>70000</v>
      </c>
      <c r="U14" s="176">
        <f t="shared" si="20"/>
        <v>31.8181818181818</v>
      </c>
      <c r="V14" s="88"/>
      <c r="W14" s="176">
        <f t="shared" si="21"/>
        <v>0</v>
      </c>
      <c r="X14" s="177"/>
      <c r="Y14" s="177"/>
      <c r="Z14" s="177"/>
      <c r="AA14" s="177"/>
    </row>
    <row r="15" ht="14.25" customHeight="1" spans="1:27">
      <c r="A15" s="92" t="s">
        <v>50</v>
      </c>
      <c r="B15" s="77" t="s">
        <v>23</v>
      </c>
      <c r="C15" s="77" t="s">
        <v>51</v>
      </c>
      <c r="D15" s="77">
        <f>2000000+700000</f>
        <v>2700000</v>
      </c>
      <c r="E15" s="117">
        <v>3500000</v>
      </c>
      <c r="F15" s="118">
        <f t="shared" si="11"/>
        <v>1750</v>
      </c>
      <c r="G15" s="119">
        <v>3800000</v>
      </c>
      <c r="H15" s="120">
        <f t="shared" si="12"/>
        <v>1900</v>
      </c>
      <c r="I15" s="77">
        <f t="shared" si="13"/>
        <v>300000</v>
      </c>
      <c r="J15" s="136">
        <f t="shared" si="14"/>
        <v>0.0857142857142857</v>
      </c>
      <c r="K15" s="77">
        <f t="shared" si="15"/>
        <v>800000</v>
      </c>
      <c r="L15" s="136">
        <f t="shared" si="16"/>
        <v>0.296296296296296</v>
      </c>
      <c r="M15" s="77">
        <f t="shared" si="17"/>
        <v>1100000</v>
      </c>
      <c r="N15" s="136">
        <f t="shared" si="18"/>
        <v>0.407407407407407</v>
      </c>
      <c r="O15" s="88" t="s">
        <v>25</v>
      </c>
      <c r="P15" s="96" t="s">
        <v>38</v>
      </c>
      <c r="Q15" s="161"/>
      <c r="R15" s="156"/>
      <c r="S15" s="156">
        <v>0.02</v>
      </c>
      <c r="T15" s="77">
        <f t="shared" si="19"/>
        <v>54000</v>
      </c>
      <c r="U15" s="176">
        <f t="shared" si="20"/>
        <v>24.5454545454545</v>
      </c>
      <c r="V15" s="88">
        <v>10</v>
      </c>
      <c r="W15" s="176">
        <f t="shared" si="21"/>
        <v>245.454545454545</v>
      </c>
      <c r="X15" s="177"/>
      <c r="Y15" s="177"/>
      <c r="Z15" s="177"/>
      <c r="AA15" s="177"/>
    </row>
    <row r="16" ht="14.25" customHeight="1" spans="1:27">
      <c r="A16" s="93" t="s">
        <v>52</v>
      </c>
      <c r="B16" s="77" t="s">
        <v>23</v>
      </c>
      <c r="C16" s="77" t="s">
        <v>53</v>
      </c>
      <c r="D16" s="77">
        <v>2000000</v>
      </c>
      <c r="E16" s="117">
        <v>3000000</v>
      </c>
      <c r="F16" s="118">
        <f t="shared" si="11"/>
        <v>1500</v>
      </c>
      <c r="G16" s="119">
        <v>3300000</v>
      </c>
      <c r="H16" s="120">
        <v>1650</v>
      </c>
      <c r="I16" s="77">
        <f t="shared" si="13"/>
        <v>300000</v>
      </c>
      <c r="J16" s="136">
        <f t="shared" si="14"/>
        <v>0.1</v>
      </c>
      <c r="K16" s="77">
        <f t="shared" si="15"/>
        <v>1000000</v>
      </c>
      <c r="L16" s="136">
        <f t="shared" si="16"/>
        <v>0.5</v>
      </c>
      <c r="M16" s="77">
        <f t="shared" si="17"/>
        <v>1300000</v>
      </c>
      <c r="N16" s="136">
        <f t="shared" si="18"/>
        <v>0.65</v>
      </c>
      <c r="O16" s="88" t="s">
        <v>25</v>
      </c>
      <c r="P16" s="96" t="s">
        <v>54</v>
      </c>
      <c r="Q16" s="161"/>
      <c r="R16" s="160" t="s">
        <v>55</v>
      </c>
      <c r="S16" s="156">
        <v>0.02</v>
      </c>
      <c r="T16" s="77">
        <f t="shared" si="19"/>
        <v>40000</v>
      </c>
      <c r="U16" s="176">
        <f t="shared" si="20"/>
        <v>18.1818181818182</v>
      </c>
      <c r="V16" s="88">
        <v>60</v>
      </c>
      <c r="W16" s="176">
        <f t="shared" si="21"/>
        <v>1090.90909090909</v>
      </c>
      <c r="X16" s="177"/>
      <c r="Y16" s="177"/>
      <c r="Z16" s="177"/>
      <c r="AA16" s="177"/>
    </row>
    <row r="17" ht="14.25" customHeight="1" spans="1:27">
      <c r="A17" s="94" t="s">
        <v>56</v>
      </c>
      <c r="B17" s="77" t="s">
        <v>23</v>
      </c>
      <c r="C17" s="77" t="s">
        <v>57</v>
      </c>
      <c r="D17" s="95">
        <v>1650000</v>
      </c>
      <c r="E17" s="117">
        <v>3500000</v>
      </c>
      <c r="F17" s="118">
        <f t="shared" si="11"/>
        <v>1750</v>
      </c>
      <c r="G17" s="119">
        <v>4000000</v>
      </c>
      <c r="H17" s="118">
        <f>G17/2000</f>
        <v>2000</v>
      </c>
      <c r="I17" s="77">
        <f t="shared" si="13"/>
        <v>500000</v>
      </c>
      <c r="J17" s="136">
        <f t="shared" si="14"/>
        <v>0.142857142857143</v>
      </c>
      <c r="K17" s="77">
        <f t="shared" si="15"/>
        <v>1850000</v>
      </c>
      <c r="L17" s="136">
        <f t="shared" si="16"/>
        <v>1.12121212121212</v>
      </c>
      <c r="M17" s="77">
        <f t="shared" si="17"/>
        <v>2350000</v>
      </c>
      <c r="N17" s="136">
        <f t="shared" si="18"/>
        <v>1.42424242424242</v>
      </c>
      <c r="O17" s="88" t="s">
        <v>58</v>
      </c>
      <c r="P17" s="96" t="s">
        <v>59</v>
      </c>
      <c r="Q17" s="161"/>
      <c r="R17" s="160" t="s">
        <v>60</v>
      </c>
      <c r="S17" s="156">
        <v>0.02</v>
      </c>
      <c r="T17" s="77">
        <f t="shared" si="19"/>
        <v>33000</v>
      </c>
      <c r="U17" s="176">
        <f t="shared" si="20"/>
        <v>15</v>
      </c>
      <c r="V17" s="88">
        <v>10</v>
      </c>
      <c r="W17" s="176">
        <f t="shared" si="21"/>
        <v>150</v>
      </c>
      <c r="X17" s="177"/>
      <c r="Y17" s="177"/>
      <c r="Z17" s="177"/>
      <c r="AA17" s="177"/>
    </row>
    <row r="18" ht="14.25" customHeight="1" spans="1:27">
      <c r="A18" s="94" t="s">
        <v>61</v>
      </c>
      <c r="B18" s="77"/>
      <c r="C18" s="77"/>
      <c r="D18" s="77">
        <v>600000</v>
      </c>
      <c r="E18" s="117">
        <v>700000</v>
      </c>
      <c r="F18" s="118">
        <v>350</v>
      </c>
      <c r="G18" s="119">
        <v>80000</v>
      </c>
      <c r="H18" s="118">
        <v>400</v>
      </c>
      <c r="I18" s="77"/>
      <c r="J18" s="136"/>
      <c r="K18" s="77"/>
      <c r="L18" s="136"/>
      <c r="M18" s="77"/>
      <c r="N18" s="136"/>
      <c r="O18" s="88"/>
      <c r="P18" s="96"/>
      <c r="Q18" s="161"/>
      <c r="R18" s="160"/>
      <c r="S18" s="156"/>
      <c r="T18" s="88"/>
      <c r="U18" s="176"/>
      <c r="V18" s="88"/>
      <c r="W18" s="88"/>
      <c r="X18" s="177"/>
      <c r="Y18" s="177"/>
      <c r="Z18" s="177"/>
      <c r="AA18" s="177"/>
    </row>
    <row r="19" ht="14.25" customHeight="1" spans="1:27">
      <c r="A19" s="96" t="s">
        <v>62</v>
      </c>
      <c r="B19" s="77" t="s">
        <v>23</v>
      </c>
      <c r="C19" s="77" t="s">
        <v>63</v>
      </c>
      <c r="D19" s="77">
        <v>2000000</v>
      </c>
      <c r="E19" s="117">
        <v>2500000</v>
      </c>
      <c r="F19" s="118">
        <f t="shared" ref="F19:F21" si="22">E19/2000</f>
        <v>1250</v>
      </c>
      <c r="G19" s="119">
        <v>3500000</v>
      </c>
      <c r="H19" s="118">
        <f t="shared" ref="H19:H21" si="23">G19/2000</f>
        <v>1750</v>
      </c>
      <c r="I19" s="77">
        <f>G19-E19</f>
        <v>1000000</v>
      </c>
      <c r="J19" s="136">
        <f>I19/E19</f>
        <v>0.4</v>
      </c>
      <c r="K19" s="77">
        <f>E19-D19</f>
        <v>500000</v>
      </c>
      <c r="L19" s="136">
        <f>K19/D19</f>
        <v>0.25</v>
      </c>
      <c r="M19" s="77">
        <f>G19-D19</f>
        <v>1500000</v>
      </c>
      <c r="N19" s="136">
        <f>M19/D19</f>
        <v>0.75</v>
      </c>
      <c r="O19" s="145"/>
      <c r="P19" s="96" t="s">
        <v>64</v>
      </c>
      <c r="Q19" s="161"/>
      <c r="R19" s="156"/>
      <c r="S19" s="156">
        <v>0.02</v>
      </c>
      <c r="T19" s="77">
        <f>D19*S19</f>
        <v>40000</v>
      </c>
      <c r="U19" s="176">
        <f>T19/2200</f>
        <v>18.1818181818182</v>
      </c>
      <c r="V19" s="88"/>
      <c r="W19" s="176">
        <f>U19*V19</f>
        <v>0</v>
      </c>
      <c r="X19" s="177"/>
      <c r="Y19" s="177"/>
      <c r="Z19" s="177"/>
      <c r="AA19" s="177"/>
    </row>
    <row r="20" ht="12" customHeight="1" spans="1:27">
      <c r="A20" s="91" t="s">
        <v>65</v>
      </c>
      <c r="B20" s="77"/>
      <c r="C20" s="77"/>
      <c r="D20" s="77">
        <v>4700000</v>
      </c>
      <c r="E20" s="117">
        <v>8000000</v>
      </c>
      <c r="F20" s="118">
        <f t="shared" si="22"/>
        <v>4000</v>
      </c>
      <c r="G20" s="119">
        <v>9000000</v>
      </c>
      <c r="H20" s="118">
        <f t="shared" si="23"/>
        <v>4500</v>
      </c>
      <c r="I20" s="77"/>
      <c r="J20" s="136"/>
      <c r="K20" s="77"/>
      <c r="L20" s="136"/>
      <c r="M20" s="77"/>
      <c r="N20" s="136"/>
      <c r="O20" s="88"/>
      <c r="P20" s="96"/>
      <c r="Q20" s="88"/>
      <c r="R20" s="160"/>
      <c r="S20" s="156"/>
      <c r="T20" s="88"/>
      <c r="U20" s="176"/>
      <c r="V20" s="88"/>
      <c r="W20" s="88"/>
      <c r="X20" s="177"/>
      <c r="Y20" s="177"/>
      <c r="Z20" s="177"/>
      <c r="AA20" s="177"/>
    </row>
    <row r="21" ht="12" customHeight="1" spans="1:27">
      <c r="A21" s="91" t="s">
        <v>66</v>
      </c>
      <c r="B21" s="77"/>
      <c r="C21" s="77"/>
      <c r="D21" s="77">
        <v>4000000</v>
      </c>
      <c r="E21" s="117">
        <v>7000000</v>
      </c>
      <c r="F21" s="118">
        <f t="shared" si="22"/>
        <v>3500</v>
      </c>
      <c r="G21" s="119">
        <v>8000000</v>
      </c>
      <c r="H21" s="118">
        <f t="shared" si="23"/>
        <v>4000</v>
      </c>
      <c r="I21" s="77"/>
      <c r="J21" s="136"/>
      <c r="K21" s="77"/>
      <c r="L21" s="136"/>
      <c r="M21" s="77"/>
      <c r="N21" s="136"/>
      <c r="O21" s="88"/>
      <c r="P21" s="96"/>
      <c r="Q21" s="88"/>
      <c r="R21" s="160"/>
      <c r="S21" s="156"/>
      <c r="T21" s="88"/>
      <c r="U21" s="176"/>
      <c r="V21" s="88"/>
      <c r="W21" s="88"/>
      <c r="X21" s="177"/>
      <c r="Y21" s="177"/>
      <c r="Z21" s="177"/>
      <c r="AA21" s="177"/>
    </row>
    <row r="22" ht="12" customHeight="1" spans="1:27">
      <c r="A22" s="97" t="s">
        <v>67</v>
      </c>
      <c r="B22" s="98"/>
      <c r="C22" s="98"/>
      <c r="D22" s="98">
        <v>4700000</v>
      </c>
      <c r="E22" s="117">
        <v>5500000</v>
      </c>
      <c r="F22" s="121">
        <v>2650</v>
      </c>
      <c r="G22" s="119">
        <v>6000000</v>
      </c>
      <c r="H22" s="121">
        <v>3000</v>
      </c>
      <c r="I22" s="98"/>
      <c r="J22" s="137"/>
      <c r="K22" s="98"/>
      <c r="L22" s="137"/>
      <c r="M22" s="98"/>
      <c r="N22" s="137"/>
      <c r="O22" s="146"/>
      <c r="P22" s="147"/>
      <c r="Q22" s="146"/>
      <c r="R22" s="162"/>
      <c r="S22" s="163"/>
      <c r="T22" s="146"/>
      <c r="U22" s="178"/>
      <c r="V22" s="146"/>
      <c r="W22" s="146"/>
      <c r="X22" s="179"/>
      <c r="Y22" s="179"/>
      <c r="Z22" s="179"/>
      <c r="AA22" s="179"/>
    </row>
    <row r="23" ht="12" customHeight="1" spans="1:27">
      <c r="A23" s="97" t="s">
        <v>68</v>
      </c>
      <c r="B23" s="98"/>
      <c r="C23" s="98"/>
      <c r="D23" s="98">
        <v>4700000</v>
      </c>
      <c r="E23" s="117">
        <v>5000000</v>
      </c>
      <c r="F23" s="121">
        <v>2250</v>
      </c>
      <c r="G23" s="119">
        <v>6000000</v>
      </c>
      <c r="H23" s="121">
        <v>2600</v>
      </c>
      <c r="I23" s="98"/>
      <c r="J23" s="137"/>
      <c r="K23" s="98"/>
      <c r="L23" s="137"/>
      <c r="M23" s="98"/>
      <c r="N23" s="137"/>
      <c r="O23" s="146"/>
      <c r="P23" s="147"/>
      <c r="Q23" s="146"/>
      <c r="R23" s="162"/>
      <c r="S23" s="163"/>
      <c r="T23" s="146"/>
      <c r="U23" s="178"/>
      <c r="V23" s="146"/>
      <c r="W23" s="146"/>
      <c r="X23" s="179"/>
      <c r="Y23" s="179"/>
      <c r="Z23" s="179"/>
      <c r="AA23" s="179"/>
    </row>
    <row r="24" ht="12" customHeight="1" spans="1:27">
      <c r="A24" s="97" t="s">
        <v>69</v>
      </c>
      <c r="B24" s="98"/>
      <c r="C24" s="98"/>
      <c r="D24" s="98">
        <v>3750000</v>
      </c>
      <c r="E24" s="117">
        <v>4500000</v>
      </c>
      <c r="F24" s="121">
        <v>2250</v>
      </c>
      <c r="G24" s="119">
        <v>5000000</v>
      </c>
      <c r="H24" s="121">
        <v>2500</v>
      </c>
      <c r="I24" s="98"/>
      <c r="J24" s="137"/>
      <c r="K24" s="98"/>
      <c r="L24" s="137"/>
      <c r="M24" s="98"/>
      <c r="N24" s="137"/>
      <c r="O24" s="146"/>
      <c r="P24" s="147"/>
      <c r="Q24" s="146"/>
      <c r="R24" s="162"/>
      <c r="S24" s="163"/>
      <c r="T24" s="146"/>
      <c r="U24" s="178"/>
      <c r="V24" s="146"/>
      <c r="W24" s="146"/>
      <c r="X24" s="179"/>
      <c r="Y24" s="179"/>
      <c r="Z24" s="179"/>
      <c r="AA24" s="179"/>
    </row>
    <row r="25" ht="12" customHeight="1" spans="1:27">
      <c r="A25" s="97" t="s">
        <v>70</v>
      </c>
      <c r="B25" s="98"/>
      <c r="C25" s="98"/>
      <c r="D25" s="98">
        <v>3050000</v>
      </c>
      <c r="E25" s="117">
        <v>4000000</v>
      </c>
      <c r="F25" s="121">
        <v>2000</v>
      </c>
      <c r="G25" s="119">
        <v>4500000</v>
      </c>
      <c r="H25" s="121">
        <v>2250</v>
      </c>
      <c r="I25" s="98"/>
      <c r="J25" s="137"/>
      <c r="K25" s="98"/>
      <c r="L25" s="137"/>
      <c r="M25" s="98"/>
      <c r="N25" s="137"/>
      <c r="O25" s="146"/>
      <c r="P25" s="147"/>
      <c r="Q25" s="146"/>
      <c r="R25" s="162"/>
      <c r="S25" s="163"/>
      <c r="T25" s="146"/>
      <c r="U25" s="178"/>
      <c r="V25" s="146"/>
      <c r="W25" s="146"/>
      <c r="X25" s="179"/>
      <c r="Y25" s="179"/>
      <c r="Z25" s="179"/>
      <c r="AA25" s="179"/>
    </row>
    <row r="26" ht="12" customHeight="1" spans="1:27">
      <c r="A26" s="97" t="s">
        <v>71</v>
      </c>
      <c r="B26" s="98"/>
      <c r="C26" s="98"/>
      <c r="D26" s="98">
        <v>4750000</v>
      </c>
      <c r="E26" s="117">
        <v>5500000</v>
      </c>
      <c r="F26" s="121">
        <v>2750</v>
      </c>
      <c r="G26" s="119">
        <v>6000000</v>
      </c>
      <c r="H26" s="121">
        <v>3000</v>
      </c>
      <c r="I26" s="98"/>
      <c r="J26" s="137"/>
      <c r="K26" s="98"/>
      <c r="L26" s="137"/>
      <c r="M26" s="98"/>
      <c r="N26" s="137"/>
      <c r="O26" s="146"/>
      <c r="P26" s="147"/>
      <c r="Q26" s="146"/>
      <c r="R26" s="162"/>
      <c r="S26" s="163"/>
      <c r="T26" s="146"/>
      <c r="U26" s="178"/>
      <c r="V26" s="146"/>
      <c r="W26" s="146"/>
      <c r="X26" s="179"/>
      <c r="Y26" s="179"/>
      <c r="Z26" s="179"/>
      <c r="AA26" s="179"/>
    </row>
    <row r="27" ht="12" customHeight="1" spans="1:27">
      <c r="A27" s="97" t="s">
        <v>72</v>
      </c>
      <c r="B27" s="98"/>
      <c r="C27" s="98"/>
      <c r="D27" s="98">
        <v>4050000</v>
      </c>
      <c r="E27" s="117">
        <v>5000000</v>
      </c>
      <c r="F27" s="121">
        <v>2500</v>
      </c>
      <c r="G27" s="119">
        <v>5500000</v>
      </c>
      <c r="H27" s="121">
        <v>2750</v>
      </c>
      <c r="I27" s="98"/>
      <c r="J27" s="137"/>
      <c r="K27" s="98"/>
      <c r="L27" s="137"/>
      <c r="M27" s="98"/>
      <c r="N27" s="137"/>
      <c r="O27" s="146"/>
      <c r="P27" s="147"/>
      <c r="Q27" s="146"/>
      <c r="R27" s="162"/>
      <c r="S27" s="163"/>
      <c r="T27" s="146"/>
      <c r="U27" s="178"/>
      <c r="V27" s="146"/>
      <c r="W27" s="146"/>
      <c r="X27" s="179"/>
      <c r="Y27" s="179"/>
      <c r="Z27" s="179"/>
      <c r="AA27" s="179"/>
    </row>
    <row r="28" ht="12" customHeight="1" spans="1:27">
      <c r="A28" s="99" t="s">
        <v>73</v>
      </c>
      <c r="B28" s="77" t="s">
        <v>23</v>
      </c>
      <c r="C28" s="77" t="s">
        <v>74</v>
      </c>
      <c r="D28" s="77">
        <f>D31+2800000</f>
        <v>6800000</v>
      </c>
      <c r="E28" s="117">
        <v>8000000</v>
      </c>
      <c r="F28" s="118">
        <f>E28/2000</f>
        <v>4000</v>
      </c>
      <c r="G28" s="119">
        <v>9000000</v>
      </c>
      <c r="H28" s="118">
        <f>G28/2000</f>
        <v>4500</v>
      </c>
      <c r="I28" s="77">
        <f>G28-E28</f>
        <v>1000000</v>
      </c>
      <c r="J28" s="136">
        <f>I28/E28</f>
        <v>0.125</v>
      </c>
      <c r="K28" s="77">
        <f>E28-D28</f>
        <v>1200000</v>
      </c>
      <c r="L28" s="136">
        <f>K28/D28</f>
        <v>0.176470588235294</v>
      </c>
      <c r="M28" s="77">
        <f>G28-D28</f>
        <v>2200000</v>
      </c>
      <c r="N28" s="136">
        <f>M28/D28</f>
        <v>0.323529411764706</v>
      </c>
      <c r="O28" s="88" t="s">
        <v>25</v>
      </c>
      <c r="P28" s="96" t="s">
        <v>38</v>
      </c>
      <c r="Q28" s="88"/>
      <c r="R28" s="160" t="s">
        <v>55</v>
      </c>
      <c r="S28" s="156">
        <v>0.02</v>
      </c>
      <c r="T28" s="77">
        <f>D28*S28</f>
        <v>136000</v>
      </c>
      <c r="U28" s="176">
        <f>T28/2200</f>
        <v>61.8181818181818</v>
      </c>
      <c r="V28" s="88">
        <v>5</v>
      </c>
      <c r="W28" s="176">
        <f>U28*V28</f>
        <v>309.090909090909</v>
      </c>
      <c r="X28" s="177"/>
      <c r="Y28" s="177"/>
      <c r="Z28" s="177"/>
      <c r="AA28" s="177"/>
    </row>
    <row r="29" ht="12" customHeight="1" spans="1:27">
      <c r="A29" s="99" t="s">
        <v>75</v>
      </c>
      <c r="B29" s="77"/>
      <c r="C29" s="77"/>
      <c r="D29" s="77">
        <v>5500000</v>
      </c>
      <c r="E29" s="117">
        <v>6500000</v>
      </c>
      <c r="F29" s="118">
        <v>3250</v>
      </c>
      <c r="G29" s="119">
        <v>7500000</v>
      </c>
      <c r="H29" s="118">
        <v>3750</v>
      </c>
      <c r="I29" s="77"/>
      <c r="J29" s="136"/>
      <c r="K29" s="77"/>
      <c r="L29" s="136"/>
      <c r="M29" s="77"/>
      <c r="N29" s="136"/>
      <c r="O29" s="88"/>
      <c r="P29" s="96"/>
      <c r="Q29" s="88"/>
      <c r="R29" s="160"/>
      <c r="S29" s="156"/>
      <c r="T29" s="88"/>
      <c r="U29" s="176"/>
      <c r="V29" s="88"/>
      <c r="W29" s="88"/>
      <c r="X29" s="177"/>
      <c r="Y29" s="177"/>
      <c r="Z29" s="177"/>
      <c r="AA29" s="177"/>
    </row>
    <row r="30" ht="12" customHeight="1" spans="1:27">
      <c r="A30" s="99" t="s">
        <v>76</v>
      </c>
      <c r="B30" s="100"/>
      <c r="C30" s="100" t="s">
        <v>77</v>
      </c>
      <c r="D30" s="100">
        <f>D31+700000</f>
        <v>4700000</v>
      </c>
      <c r="E30" s="117">
        <v>5300000</v>
      </c>
      <c r="F30" s="122">
        <f t="shared" ref="F30:F31" si="24">E30/2000</f>
        <v>2650</v>
      </c>
      <c r="G30" s="123">
        <v>6000000</v>
      </c>
      <c r="H30" s="122">
        <f t="shared" ref="H30:H31" si="25">G30/2000</f>
        <v>3000</v>
      </c>
      <c r="I30" s="100">
        <f t="shared" ref="I30:I31" si="26">G30-E30</f>
        <v>700000</v>
      </c>
      <c r="J30" s="138">
        <f t="shared" ref="J30:J31" si="27">I30/E30</f>
        <v>0.132075471698113</v>
      </c>
      <c r="K30" s="100">
        <f t="shared" ref="K30:K31" si="28">E30-D30</f>
        <v>600000</v>
      </c>
      <c r="L30" s="138">
        <f t="shared" ref="L30:L31" si="29">K30/D30</f>
        <v>0.127659574468085</v>
      </c>
      <c r="M30" s="100">
        <f t="shared" ref="M30:M31" si="30">G30-D30</f>
        <v>1300000</v>
      </c>
      <c r="N30" s="138">
        <f t="shared" ref="N30:N31" si="31">M30/D30</f>
        <v>0.276595744680851</v>
      </c>
      <c r="O30" s="148" t="s">
        <v>25</v>
      </c>
      <c r="P30" s="149" t="s">
        <v>38</v>
      </c>
      <c r="Q30" s="148"/>
      <c r="R30" s="164" t="s">
        <v>55</v>
      </c>
      <c r="S30" s="165">
        <v>0.02</v>
      </c>
      <c r="T30" s="100">
        <f t="shared" ref="T30:T31" si="32">D30*S30</f>
        <v>94000</v>
      </c>
      <c r="U30" s="180">
        <f t="shared" ref="U30:U31" si="33">T30/2200</f>
        <v>42.7272727272727</v>
      </c>
      <c r="V30" s="148">
        <v>5</v>
      </c>
      <c r="W30" s="180">
        <f t="shared" ref="W30:W31" si="34">U30*V30</f>
        <v>213.636363636364</v>
      </c>
      <c r="X30" s="181"/>
      <c r="Y30" s="181"/>
      <c r="Z30" s="181"/>
      <c r="AA30" s="181"/>
    </row>
    <row r="31" ht="12" customHeight="1" spans="1:27">
      <c r="A31" s="99" t="s">
        <v>78</v>
      </c>
      <c r="B31" s="77" t="s">
        <v>23</v>
      </c>
      <c r="C31" s="77" t="s">
        <v>79</v>
      </c>
      <c r="D31" s="95">
        <v>4000000</v>
      </c>
      <c r="E31" s="117">
        <v>5000000</v>
      </c>
      <c r="F31" s="118">
        <f t="shared" si="24"/>
        <v>2500</v>
      </c>
      <c r="G31" s="119">
        <v>5400000</v>
      </c>
      <c r="H31" s="118">
        <f t="shared" si="25"/>
        <v>2700</v>
      </c>
      <c r="I31" s="77">
        <f t="shared" si="26"/>
        <v>400000</v>
      </c>
      <c r="J31" s="136">
        <f t="shared" si="27"/>
        <v>0.08</v>
      </c>
      <c r="K31" s="77">
        <f t="shared" si="28"/>
        <v>1000000</v>
      </c>
      <c r="L31" s="136">
        <f t="shared" si="29"/>
        <v>0.25</v>
      </c>
      <c r="M31" s="77">
        <f t="shared" si="30"/>
        <v>1400000</v>
      </c>
      <c r="N31" s="136">
        <f t="shared" si="31"/>
        <v>0.35</v>
      </c>
      <c r="O31" s="88" t="s">
        <v>25</v>
      </c>
      <c r="P31" s="96" t="s">
        <v>54</v>
      </c>
      <c r="Q31" s="88"/>
      <c r="R31" s="160" t="s">
        <v>55</v>
      </c>
      <c r="S31" s="156">
        <v>0.02</v>
      </c>
      <c r="T31" s="77">
        <f t="shared" si="32"/>
        <v>80000</v>
      </c>
      <c r="U31" s="176">
        <f t="shared" si="33"/>
        <v>36.3636363636364</v>
      </c>
      <c r="V31" s="88">
        <v>5</v>
      </c>
      <c r="W31" s="176">
        <f t="shared" si="34"/>
        <v>181.818181818182</v>
      </c>
      <c r="X31" s="177"/>
      <c r="Y31" s="177"/>
      <c r="Z31" s="177"/>
      <c r="AA31" s="177"/>
    </row>
    <row r="32" ht="14.25" customHeight="1" spans="1:27">
      <c r="A32" s="101" t="s">
        <v>80</v>
      </c>
      <c r="B32" s="77"/>
      <c r="C32" s="75"/>
      <c r="D32" s="77">
        <v>6700000</v>
      </c>
      <c r="E32" s="117">
        <v>8200000</v>
      </c>
      <c r="F32" s="118">
        <v>3650</v>
      </c>
      <c r="G32" s="119">
        <v>8800000</v>
      </c>
      <c r="H32" s="118">
        <v>4000</v>
      </c>
      <c r="I32" s="77"/>
      <c r="J32" s="136"/>
      <c r="K32" s="77"/>
      <c r="L32" s="136"/>
      <c r="M32" s="77"/>
      <c r="N32" s="136"/>
      <c r="O32" s="88"/>
      <c r="P32" s="96"/>
      <c r="Q32" s="161"/>
      <c r="R32" s="156"/>
      <c r="S32" s="156"/>
      <c r="T32" s="88"/>
      <c r="U32" s="176"/>
      <c r="V32" s="88"/>
      <c r="W32" s="88"/>
      <c r="X32" s="177"/>
      <c r="Y32" s="177"/>
      <c r="Z32" s="177"/>
      <c r="AA32" s="177"/>
    </row>
    <row r="33" ht="14.25" customHeight="1" spans="1:27">
      <c r="A33" s="101" t="s">
        <v>81</v>
      </c>
      <c r="B33" s="77" t="s">
        <v>23</v>
      </c>
      <c r="C33" s="75" t="s">
        <v>82</v>
      </c>
      <c r="D33" s="77">
        <v>5000000</v>
      </c>
      <c r="E33" s="117">
        <v>6000000</v>
      </c>
      <c r="F33" s="118">
        <f>E33/2000</f>
        <v>3000</v>
      </c>
      <c r="G33" s="119">
        <v>6500000</v>
      </c>
      <c r="H33" s="118">
        <f>G33/2000</f>
        <v>3250</v>
      </c>
      <c r="I33" s="77">
        <f>G33-E33</f>
        <v>500000</v>
      </c>
      <c r="J33" s="136">
        <f>I33/E33</f>
        <v>0.0833333333333333</v>
      </c>
      <c r="K33" s="77">
        <f>E33-D33</f>
        <v>1000000</v>
      </c>
      <c r="L33" s="136">
        <f>K33/D33</f>
        <v>0.2</v>
      </c>
      <c r="M33" s="77">
        <f>G33-D33</f>
        <v>1500000</v>
      </c>
      <c r="N33" s="136">
        <f>M33/D33</f>
        <v>0.3</v>
      </c>
      <c r="O33" s="88" t="s">
        <v>83</v>
      </c>
      <c r="P33" s="96"/>
      <c r="Q33" s="161"/>
      <c r="R33" s="156"/>
      <c r="S33" s="156">
        <v>0.02</v>
      </c>
      <c r="T33" s="77">
        <f>D33*S33</f>
        <v>100000</v>
      </c>
      <c r="U33" s="176">
        <f>T33/2200</f>
        <v>45.4545454545455</v>
      </c>
      <c r="V33" s="88"/>
      <c r="W33" s="176">
        <f>U33*V33</f>
        <v>0</v>
      </c>
      <c r="X33" s="177"/>
      <c r="Y33" s="177"/>
      <c r="Z33" s="177"/>
      <c r="AA33" s="177"/>
    </row>
    <row r="34" ht="14.25" customHeight="1" spans="1:27">
      <c r="A34" s="101" t="s">
        <v>84</v>
      </c>
      <c r="B34" s="77"/>
      <c r="C34" s="75"/>
      <c r="D34" s="77">
        <v>1000000</v>
      </c>
      <c r="E34" s="117">
        <v>1400000</v>
      </c>
      <c r="F34" s="118">
        <v>700</v>
      </c>
      <c r="G34" s="119">
        <v>1800000</v>
      </c>
      <c r="H34" s="118">
        <v>900</v>
      </c>
      <c r="I34" s="77"/>
      <c r="J34" s="136"/>
      <c r="K34" s="77"/>
      <c r="L34" s="136"/>
      <c r="M34" s="77"/>
      <c r="N34" s="136"/>
      <c r="O34" s="88"/>
      <c r="P34" s="96"/>
      <c r="Q34" s="161"/>
      <c r="R34" s="156"/>
      <c r="S34" s="156"/>
      <c r="T34" s="88"/>
      <c r="U34" s="176"/>
      <c r="V34" s="88"/>
      <c r="W34" s="88"/>
      <c r="X34" s="177"/>
      <c r="Y34" s="177"/>
      <c r="Z34" s="177"/>
      <c r="AA34" s="177"/>
    </row>
    <row r="35" ht="12" customHeight="1" spans="1:27">
      <c r="A35" s="91" t="s">
        <v>85</v>
      </c>
      <c r="B35" s="77"/>
      <c r="C35" s="77"/>
      <c r="D35" s="77"/>
      <c r="E35" s="117"/>
      <c r="F35" s="118"/>
      <c r="G35" s="119"/>
      <c r="H35" s="118"/>
      <c r="I35" s="77"/>
      <c r="J35" s="136"/>
      <c r="K35" s="77"/>
      <c r="L35" s="136"/>
      <c r="M35" s="77"/>
      <c r="N35" s="136"/>
      <c r="O35" s="88"/>
      <c r="P35" s="96"/>
      <c r="Q35" s="88"/>
      <c r="R35" s="160"/>
      <c r="S35" s="156"/>
      <c r="T35" s="88"/>
      <c r="U35" s="176"/>
      <c r="V35" s="88"/>
      <c r="W35" s="88"/>
      <c r="X35" s="177"/>
      <c r="Y35" s="177"/>
      <c r="Z35" s="177"/>
      <c r="AA35" s="177"/>
    </row>
    <row r="36" ht="12" customHeight="1" spans="1:27">
      <c r="A36" s="91" t="s">
        <v>86</v>
      </c>
      <c r="B36" s="77"/>
      <c r="C36" s="77"/>
      <c r="D36" s="77">
        <v>1000000</v>
      </c>
      <c r="E36" s="117">
        <v>1500000</v>
      </c>
      <c r="F36" s="118">
        <v>750</v>
      </c>
      <c r="G36" s="119">
        <v>2000000</v>
      </c>
      <c r="H36" s="118">
        <v>1000</v>
      </c>
      <c r="I36" s="77"/>
      <c r="J36" s="136"/>
      <c r="K36" s="77"/>
      <c r="L36" s="136"/>
      <c r="M36" s="77"/>
      <c r="N36" s="136"/>
      <c r="O36" s="88"/>
      <c r="P36" s="96"/>
      <c r="Q36" s="88"/>
      <c r="R36" s="160"/>
      <c r="S36" s="156"/>
      <c r="T36" s="88"/>
      <c r="U36" s="176"/>
      <c r="V36" s="88"/>
      <c r="W36" s="88"/>
      <c r="X36" s="177"/>
      <c r="Y36" s="177"/>
      <c r="Z36" s="177"/>
      <c r="AA36" s="177"/>
    </row>
    <row r="37" ht="12" customHeight="1" spans="1:27">
      <c r="A37" s="91" t="s">
        <v>87</v>
      </c>
      <c r="B37" s="77"/>
      <c r="C37" s="77"/>
      <c r="D37" s="77">
        <v>1000000</v>
      </c>
      <c r="E37" s="117">
        <v>1500000</v>
      </c>
      <c r="F37" s="118">
        <v>750</v>
      </c>
      <c r="G37" s="119">
        <v>2000000</v>
      </c>
      <c r="H37" s="118">
        <v>1000</v>
      </c>
      <c r="I37" s="77"/>
      <c r="J37" s="136"/>
      <c r="K37" s="77"/>
      <c r="L37" s="136"/>
      <c r="M37" s="77"/>
      <c r="N37" s="136"/>
      <c r="O37" s="88"/>
      <c r="P37" s="96"/>
      <c r="Q37" s="88"/>
      <c r="R37" s="160"/>
      <c r="S37" s="156"/>
      <c r="T37" s="88"/>
      <c r="U37" s="176"/>
      <c r="V37" s="88"/>
      <c r="W37" s="88"/>
      <c r="X37" s="177"/>
      <c r="Y37" s="177"/>
      <c r="Z37" s="177"/>
      <c r="AA37" s="177"/>
    </row>
    <row r="38" ht="12" customHeight="1" spans="1:27">
      <c r="A38" s="91" t="s">
        <v>88</v>
      </c>
      <c r="B38" s="77"/>
      <c r="C38" s="77"/>
      <c r="D38" s="77">
        <v>1000000</v>
      </c>
      <c r="E38" s="117">
        <v>1500000</v>
      </c>
      <c r="F38" s="118">
        <v>750</v>
      </c>
      <c r="G38" s="119">
        <v>2000000</v>
      </c>
      <c r="H38" s="118">
        <v>1000</v>
      </c>
      <c r="I38" s="77"/>
      <c r="J38" s="136"/>
      <c r="K38" s="77"/>
      <c r="L38" s="136"/>
      <c r="M38" s="77"/>
      <c r="N38" s="136"/>
      <c r="O38" s="88"/>
      <c r="P38" s="96"/>
      <c r="Q38" s="88"/>
      <c r="R38" s="160"/>
      <c r="S38" s="156"/>
      <c r="T38" s="88"/>
      <c r="U38" s="176"/>
      <c r="V38" s="88"/>
      <c r="W38" s="88"/>
      <c r="X38" s="177"/>
      <c r="Y38" s="177"/>
      <c r="Z38" s="177"/>
      <c r="AA38" s="177"/>
    </row>
    <row r="39" ht="22.5" customHeight="1" spans="1:27">
      <c r="A39" s="91" t="s">
        <v>89</v>
      </c>
      <c r="B39" s="77"/>
      <c r="C39" s="77"/>
      <c r="D39" s="77">
        <v>7700000</v>
      </c>
      <c r="E39" s="117">
        <v>14500000</v>
      </c>
      <c r="F39" s="118">
        <v>7250</v>
      </c>
      <c r="G39" s="119">
        <v>16000000</v>
      </c>
      <c r="H39" s="118">
        <v>8000</v>
      </c>
      <c r="I39" s="77"/>
      <c r="J39" s="136"/>
      <c r="K39" s="77"/>
      <c r="L39" s="136"/>
      <c r="M39" s="77"/>
      <c r="N39" s="136"/>
      <c r="O39" s="88" t="s">
        <v>90</v>
      </c>
      <c r="P39" s="96"/>
      <c r="Q39" s="88"/>
      <c r="R39" s="160"/>
      <c r="S39" s="156"/>
      <c r="T39" s="88"/>
      <c r="U39" s="176"/>
      <c r="V39" s="88"/>
      <c r="W39" s="88"/>
      <c r="X39" s="177"/>
      <c r="Y39" s="177"/>
      <c r="Z39" s="177"/>
      <c r="AA39" s="177"/>
    </row>
    <row r="40" ht="14.25" customHeight="1" spans="1:27">
      <c r="A40" s="102" t="s">
        <v>91</v>
      </c>
      <c r="B40" s="77"/>
      <c r="C40" s="77"/>
      <c r="D40" s="77">
        <v>5700000</v>
      </c>
      <c r="E40" s="117">
        <v>8500000</v>
      </c>
      <c r="F40" s="118">
        <v>3800</v>
      </c>
      <c r="G40" s="119">
        <v>9500000</v>
      </c>
      <c r="H40" s="118">
        <v>4500</v>
      </c>
      <c r="I40" s="77"/>
      <c r="J40" s="136"/>
      <c r="K40" s="77"/>
      <c r="L40" s="136"/>
      <c r="M40" s="77"/>
      <c r="N40" s="136"/>
      <c r="O40" s="96"/>
      <c r="P40" s="145"/>
      <c r="Q40" s="161"/>
      <c r="R40" s="156"/>
      <c r="S40" s="156"/>
      <c r="T40" s="88"/>
      <c r="U40" s="176"/>
      <c r="V40" s="88"/>
      <c r="W40" s="88"/>
      <c r="X40" s="177"/>
      <c r="Y40" s="177"/>
      <c r="Z40" s="177"/>
      <c r="AA40" s="177"/>
    </row>
    <row r="41" ht="14.25" customHeight="1" spans="1:27">
      <c r="A41" s="102" t="s">
        <v>92</v>
      </c>
      <c r="B41" s="77"/>
      <c r="C41" s="77"/>
      <c r="D41" s="77">
        <v>7700000</v>
      </c>
      <c r="E41" s="117">
        <v>10000000</v>
      </c>
      <c r="F41" s="118">
        <v>4500</v>
      </c>
      <c r="G41" s="119">
        <v>1100000</v>
      </c>
      <c r="H41" s="118">
        <v>5000</v>
      </c>
      <c r="I41" s="77"/>
      <c r="J41" s="136"/>
      <c r="K41" s="77"/>
      <c r="L41" s="136"/>
      <c r="M41" s="77"/>
      <c r="N41" s="136"/>
      <c r="O41" s="96"/>
      <c r="P41" s="145"/>
      <c r="Q41" s="161"/>
      <c r="R41" s="156"/>
      <c r="S41" s="156"/>
      <c r="T41" s="88"/>
      <c r="U41" s="176"/>
      <c r="V41" s="88"/>
      <c r="W41" s="88"/>
      <c r="X41" s="177"/>
      <c r="Y41" s="177"/>
      <c r="Z41" s="177"/>
      <c r="AA41" s="177"/>
    </row>
    <row r="42" ht="14.25" customHeight="1" spans="1:27">
      <c r="A42" s="102" t="s">
        <v>93</v>
      </c>
      <c r="B42" s="77" t="s">
        <v>23</v>
      </c>
      <c r="C42" s="77" t="s">
        <v>94</v>
      </c>
      <c r="D42" s="77">
        <v>9800000</v>
      </c>
      <c r="E42" s="117">
        <v>16000000</v>
      </c>
      <c r="F42" s="118">
        <f t="shared" ref="F42:F43" si="35">E42/2000</f>
        <v>8000</v>
      </c>
      <c r="G42" s="119">
        <v>18000000</v>
      </c>
      <c r="H42" s="118">
        <f t="shared" ref="H42:H45" si="36">G42/2000</f>
        <v>9000</v>
      </c>
      <c r="I42" s="77">
        <f t="shared" ref="I42:I45" si="37">G42-E42</f>
        <v>2000000</v>
      </c>
      <c r="J42" s="136">
        <f t="shared" ref="J42:J45" si="38">I42/E42</f>
        <v>0.125</v>
      </c>
      <c r="K42" s="77">
        <f t="shared" ref="K42:K45" si="39">E42-D42</f>
        <v>6200000</v>
      </c>
      <c r="L42" s="136">
        <f t="shared" ref="L42:L45" si="40">K42/D42</f>
        <v>0.63265306122449</v>
      </c>
      <c r="M42" s="77">
        <f t="shared" ref="M42:M45" si="41">G42-D42</f>
        <v>8200000</v>
      </c>
      <c r="N42" s="136">
        <f t="shared" ref="N42:N45" si="42">M42/D42</f>
        <v>0.836734693877551</v>
      </c>
      <c r="O42" s="96" t="s">
        <v>95</v>
      </c>
      <c r="P42" s="145" t="s">
        <v>96</v>
      </c>
      <c r="Q42" s="161" t="s">
        <v>97</v>
      </c>
      <c r="R42" s="156"/>
      <c r="S42" s="156">
        <v>0.01</v>
      </c>
      <c r="T42" s="77">
        <f t="shared" ref="T42:T45" si="43">D42*S42</f>
        <v>98000</v>
      </c>
      <c r="U42" s="176">
        <f t="shared" ref="U42:U45" si="44">T42/2200</f>
        <v>44.5454545454545</v>
      </c>
      <c r="V42" s="88">
        <v>10</v>
      </c>
      <c r="W42" s="176">
        <f t="shared" ref="W42:W45" si="45">U42*V42</f>
        <v>445.454545454545</v>
      </c>
      <c r="X42" s="177"/>
      <c r="Y42" s="177"/>
      <c r="Z42" s="177"/>
      <c r="AA42" s="177"/>
    </row>
    <row r="43" ht="14.25" customHeight="1" spans="1:27">
      <c r="A43" s="102" t="s">
        <v>98</v>
      </c>
      <c r="B43" s="77" t="s">
        <v>23</v>
      </c>
      <c r="C43" s="77" t="s">
        <v>99</v>
      </c>
      <c r="D43" s="77">
        <v>7800000</v>
      </c>
      <c r="E43" s="117">
        <v>12500000</v>
      </c>
      <c r="F43" s="118">
        <f t="shared" si="35"/>
        <v>6250</v>
      </c>
      <c r="G43" s="119">
        <v>15000000</v>
      </c>
      <c r="H43" s="118">
        <f t="shared" si="36"/>
        <v>7500</v>
      </c>
      <c r="I43" s="77">
        <f t="shared" si="37"/>
        <v>2500000</v>
      </c>
      <c r="J43" s="136">
        <f t="shared" si="38"/>
        <v>0.2</v>
      </c>
      <c r="K43" s="77">
        <f t="shared" si="39"/>
        <v>4700000</v>
      </c>
      <c r="L43" s="136">
        <f t="shared" si="40"/>
        <v>0.602564102564103</v>
      </c>
      <c r="M43" s="77">
        <f t="shared" si="41"/>
        <v>7200000</v>
      </c>
      <c r="N43" s="136">
        <f t="shared" si="42"/>
        <v>0.923076923076923</v>
      </c>
      <c r="O43" s="96" t="s">
        <v>95</v>
      </c>
      <c r="P43" s="145" t="s">
        <v>96</v>
      </c>
      <c r="Q43" s="161" t="s">
        <v>100</v>
      </c>
      <c r="R43" s="156"/>
      <c r="S43" s="156">
        <v>0.01</v>
      </c>
      <c r="T43" s="77">
        <f t="shared" si="43"/>
        <v>78000</v>
      </c>
      <c r="U43" s="176">
        <f t="shared" si="44"/>
        <v>35.4545454545455</v>
      </c>
      <c r="V43" s="88">
        <v>10</v>
      </c>
      <c r="W43" s="176">
        <f t="shared" si="45"/>
        <v>354.545454545455</v>
      </c>
      <c r="X43" s="177"/>
      <c r="Y43" s="177"/>
      <c r="Z43" s="177"/>
      <c r="AA43" s="177"/>
    </row>
    <row r="44" ht="14.25" customHeight="1" spans="1:27">
      <c r="A44" s="103" t="s">
        <v>101</v>
      </c>
      <c r="B44" s="104" t="s">
        <v>23</v>
      </c>
      <c r="C44" s="104" t="s">
        <v>99</v>
      </c>
      <c r="D44" s="104">
        <v>11550000</v>
      </c>
      <c r="E44" s="117">
        <v>15000000</v>
      </c>
      <c r="F44" s="124">
        <v>7500</v>
      </c>
      <c r="G44" s="125">
        <v>17000000</v>
      </c>
      <c r="H44" s="124">
        <f t="shared" si="36"/>
        <v>8500</v>
      </c>
      <c r="I44" s="104">
        <f t="shared" si="37"/>
        <v>2000000</v>
      </c>
      <c r="J44" s="139">
        <f t="shared" si="38"/>
        <v>0.133333333333333</v>
      </c>
      <c r="K44" s="104">
        <f t="shared" si="39"/>
        <v>3450000</v>
      </c>
      <c r="L44" s="139">
        <f t="shared" si="40"/>
        <v>0.298701298701299</v>
      </c>
      <c r="M44" s="104">
        <f t="shared" si="41"/>
        <v>5450000</v>
      </c>
      <c r="N44" s="139">
        <f t="shared" si="42"/>
        <v>0.471861471861472</v>
      </c>
      <c r="O44" s="150" t="s">
        <v>95</v>
      </c>
      <c r="P44" s="151" t="s">
        <v>96</v>
      </c>
      <c r="Q44" s="105" t="s">
        <v>97</v>
      </c>
      <c r="R44" s="166"/>
      <c r="S44" s="166">
        <v>0.01</v>
      </c>
      <c r="T44" s="104">
        <f t="shared" si="43"/>
        <v>115500</v>
      </c>
      <c r="U44" s="182">
        <f t="shared" si="44"/>
        <v>52.5</v>
      </c>
      <c r="V44" s="183">
        <v>10</v>
      </c>
      <c r="W44" s="182">
        <f t="shared" si="45"/>
        <v>525</v>
      </c>
      <c r="X44" s="184"/>
      <c r="Y44" s="184"/>
      <c r="Z44" s="184"/>
      <c r="AA44" s="184"/>
    </row>
    <row r="45" ht="14.25" customHeight="1" spans="1:27">
      <c r="A45" s="102" t="s">
        <v>102</v>
      </c>
      <c r="B45" s="77" t="s">
        <v>23</v>
      </c>
      <c r="C45" s="77" t="s">
        <v>99</v>
      </c>
      <c r="D45" s="77">
        <v>10000000</v>
      </c>
      <c r="E45" s="117">
        <v>12500000</v>
      </c>
      <c r="F45" s="118">
        <f>E45/2000</f>
        <v>6250</v>
      </c>
      <c r="G45" s="119">
        <v>15000000</v>
      </c>
      <c r="H45" s="118">
        <f t="shared" si="36"/>
        <v>7500</v>
      </c>
      <c r="I45" s="77">
        <f t="shared" si="37"/>
        <v>2500000</v>
      </c>
      <c r="J45" s="136">
        <f t="shared" si="38"/>
        <v>0.2</v>
      </c>
      <c r="K45" s="77">
        <f t="shared" si="39"/>
        <v>2500000</v>
      </c>
      <c r="L45" s="136">
        <f t="shared" si="40"/>
        <v>0.25</v>
      </c>
      <c r="M45" s="77">
        <f t="shared" si="41"/>
        <v>5000000</v>
      </c>
      <c r="N45" s="136">
        <f t="shared" si="42"/>
        <v>0.5</v>
      </c>
      <c r="O45" s="96" t="s">
        <v>95</v>
      </c>
      <c r="P45" s="145" t="s">
        <v>96</v>
      </c>
      <c r="Q45" s="161" t="s">
        <v>97</v>
      </c>
      <c r="R45" s="156"/>
      <c r="S45" s="156">
        <v>0.01</v>
      </c>
      <c r="T45" s="77">
        <f t="shared" si="43"/>
        <v>100000</v>
      </c>
      <c r="U45" s="176">
        <f t="shared" si="44"/>
        <v>45.4545454545455</v>
      </c>
      <c r="V45" s="88">
        <v>10</v>
      </c>
      <c r="W45" s="176">
        <f t="shared" si="45"/>
        <v>454.545454545455</v>
      </c>
      <c r="X45" s="177"/>
      <c r="Y45" s="177"/>
      <c r="Z45" s="177"/>
      <c r="AA45" s="177"/>
    </row>
    <row r="46" ht="14.25" customHeight="1" spans="1:27">
      <c r="A46" s="105" t="s">
        <v>103</v>
      </c>
      <c r="B46" s="77"/>
      <c r="C46" s="77"/>
      <c r="D46" s="77"/>
      <c r="E46" s="117">
        <v>9000000</v>
      </c>
      <c r="F46" s="118">
        <v>4500</v>
      </c>
      <c r="G46" s="119">
        <v>10000000</v>
      </c>
      <c r="H46" s="118">
        <v>5000</v>
      </c>
      <c r="I46" s="77"/>
      <c r="J46" s="136"/>
      <c r="K46" s="77"/>
      <c r="L46" s="136"/>
      <c r="M46" s="77"/>
      <c r="N46" s="136"/>
      <c r="O46" s="96"/>
      <c r="P46" s="96"/>
      <c r="Q46" s="161"/>
      <c r="R46" s="156"/>
      <c r="S46" s="156"/>
      <c r="T46" s="88"/>
      <c r="U46" s="176"/>
      <c r="V46" s="88"/>
      <c r="W46" s="88"/>
      <c r="X46" s="177"/>
      <c r="Y46" s="177"/>
      <c r="Z46" s="177"/>
      <c r="AA46" s="177"/>
    </row>
    <row r="47" ht="14.25" customHeight="1" spans="1:27">
      <c r="A47" s="105" t="s">
        <v>104</v>
      </c>
      <c r="B47" s="77"/>
      <c r="C47" s="77"/>
      <c r="D47" s="77"/>
      <c r="E47" s="117">
        <v>6000000</v>
      </c>
      <c r="F47" s="118">
        <v>3000</v>
      </c>
      <c r="G47" s="119">
        <v>7000000</v>
      </c>
      <c r="H47" s="118">
        <v>3500</v>
      </c>
      <c r="I47" s="77"/>
      <c r="J47" s="136"/>
      <c r="K47" s="77"/>
      <c r="L47" s="136"/>
      <c r="M47" s="77"/>
      <c r="N47" s="136"/>
      <c r="O47" s="96"/>
      <c r="P47" s="96"/>
      <c r="Q47" s="161"/>
      <c r="R47" s="156"/>
      <c r="S47" s="156"/>
      <c r="T47" s="88"/>
      <c r="U47" s="176"/>
      <c r="V47" s="88"/>
      <c r="W47" s="88"/>
      <c r="X47" s="177"/>
      <c r="Y47" s="177"/>
      <c r="Z47" s="177"/>
      <c r="AA47" s="177"/>
    </row>
    <row r="48" ht="14.25" customHeight="1" spans="1:27">
      <c r="A48" s="105" t="s">
        <v>105</v>
      </c>
      <c r="B48" s="77"/>
      <c r="C48" s="77"/>
      <c r="D48" s="77">
        <v>12500000</v>
      </c>
      <c r="E48" s="117">
        <v>16500000</v>
      </c>
      <c r="F48" s="118">
        <v>7500</v>
      </c>
      <c r="G48" s="119"/>
      <c r="H48" s="118">
        <v>8500</v>
      </c>
      <c r="I48" s="77"/>
      <c r="J48" s="136"/>
      <c r="K48" s="77"/>
      <c r="L48" s="136"/>
      <c r="M48" s="77"/>
      <c r="N48" s="136"/>
      <c r="O48" s="96" t="s">
        <v>106</v>
      </c>
      <c r="P48" s="96"/>
      <c r="Q48" s="161"/>
      <c r="R48" s="156"/>
      <c r="S48" s="156"/>
      <c r="T48" s="88"/>
      <c r="U48" s="176"/>
      <c r="V48" s="88"/>
      <c r="W48" s="88"/>
      <c r="X48" s="177"/>
      <c r="Y48" s="177"/>
      <c r="Z48" s="177"/>
      <c r="AA48" s="177"/>
    </row>
    <row r="49" ht="13.5" customHeight="1" spans="1:27">
      <c r="A49" s="105" t="s">
        <v>107</v>
      </c>
      <c r="B49" s="77"/>
      <c r="C49" s="77"/>
      <c r="D49" s="77">
        <v>12800000</v>
      </c>
      <c r="E49" s="117">
        <v>17000000</v>
      </c>
      <c r="F49" s="118">
        <v>7500</v>
      </c>
      <c r="G49" s="119"/>
      <c r="H49" s="118">
        <v>8500</v>
      </c>
      <c r="I49" s="77"/>
      <c r="J49" s="136"/>
      <c r="K49" s="77"/>
      <c r="L49" s="136"/>
      <c r="M49" s="77"/>
      <c r="N49" s="136"/>
      <c r="O49" s="96"/>
      <c r="P49" s="96"/>
      <c r="Q49" s="161"/>
      <c r="R49" s="156"/>
      <c r="S49" s="156"/>
      <c r="T49" s="88"/>
      <c r="U49" s="176"/>
      <c r="V49" s="88"/>
      <c r="W49" s="88"/>
      <c r="X49" s="177"/>
      <c r="Y49" s="177"/>
      <c r="Z49" s="177"/>
      <c r="AA49" s="177"/>
    </row>
    <row r="50" ht="14.25" customHeight="1" spans="1:27">
      <c r="A50" s="106" t="s">
        <v>108</v>
      </c>
      <c r="B50" s="107" t="s">
        <v>23</v>
      </c>
      <c r="C50" s="107" t="s">
        <v>109</v>
      </c>
      <c r="D50" s="107">
        <v>12600000</v>
      </c>
      <c r="E50" s="117">
        <v>16500000</v>
      </c>
      <c r="F50" s="126">
        <v>7850</v>
      </c>
      <c r="G50" s="127">
        <v>17000000</v>
      </c>
      <c r="H50" s="126">
        <f t="shared" ref="H50:H53" si="46">G50/2000</f>
        <v>8500</v>
      </c>
      <c r="I50" s="107">
        <f t="shared" ref="I50:I53" si="47">G50-E50</f>
        <v>500000</v>
      </c>
      <c r="J50" s="140">
        <f t="shared" ref="J50:J53" si="48">I50/E50</f>
        <v>0.0303030303030303</v>
      </c>
      <c r="K50" s="107">
        <f t="shared" ref="K50:K53" si="49">E50-D50</f>
        <v>3900000</v>
      </c>
      <c r="L50" s="140">
        <f t="shared" ref="L50:L53" si="50">K50/D50</f>
        <v>0.30952380952381</v>
      </c>
      <c r="M50" s="107">
        <f t="shared" ref="M50:M53" si="51">G50-D50</f>
        <v>4400000</v>
      </c>
      <c r="N50" s="140">
        <f t="shared" ref="N50:N53" si="52">M50/D50</f>
        <v>0.349206349206349</v>
      </c>
      <c r="O50" s="106" t="s">
        <v>110</v>
      </c>
      <c r="P50" s="106" t="s">
        <v>111</v>
      </c>
      <c r="Q50" s="167" t="s">
        <v>112</v>
      </c>
      <c r="R50" s="168"/>
      <c r="S50" s="168">
        <v>0.01</v>
      </c>
      <c r="T50" s="107">
        <f t="shared" ref="T50:T53" si="53">D50*S50</f>
        <v>126000</v>
      </c>
      <c r="U50" s="185">
        <f t="shared" ref="U50:U53" si="54">T50/2200</f>
        <v>57.2727272727273</v>
      </c>
      <c r="V50" s="169">
        <v>20</v>
      </c>
      <c r="W50" s="185">
        <f t="shared" ref="W50:W53" si="55">U50*V50</f>
        <v>1145.45454545455</v>
      </c>
      <c r="X50" s="186"/>
      <c r="Y50" s="186"/>
      <c r="Z50" s="186"/>
      <c r="AA50" s="186"/>
    </row>
    <row r="51" ht="13.5" customHeight="1" spans="1:27">
      <c r="A51" s="106" t="s">
        <v>113</v>
      </c>
      <c r="B51" s="107" t="s">
        <v>23</v>
      </c>
      <c r="C51" s="107" t="s">
        <v>109</v>
      </c>
      <c r="D51" s="107">
        <v>10600000</v>
      </c>
      <c r="E51" s="117">
        <v>14500000</v>
      </c>
      <c r="F51" s="126">
        <f t="shared" ref="F51:F53" si="56">E51/2000</f>
        <v>7250</v>
      </c>
      <c r="G51" s="127">
        <v>16000000</v>
      </c>
      <c r="H51" s="126">
        <f t="shared" si="46"/>
        <v>8000</v>
      </c>
      <c r="I51" s="107">
        <f t="shared" si="47"/>
        <v>1500000</v>
      </c>
      <c r="J51" s="140">
        <f t="shared" si="48"/>
        <v>0.103448275862069</v>
      </c>
      <c r="K51" s="107">
        <f t="shared" si="49"/>
        <v>3900000</v>
      </c>
      <c r="L51" s="140">
        <f t="shared" si="50"/>
        <v>0.367924528301887</v>
      </c>
      <c r="M51" s="107">
        <f t="shared" si="51"/>
        <v>5400000</v>
      </c>
      <c r="N51" s="140">
        <f t="shared" si="52"/>
        <v>0.509433962264151</v>
      </c>
      <c r="O51" s="106" t="s">
        <v>114</v>
      </c>
      <c r="P51" s="106" t="s">
        <v>111</v>
      </c>
      <c r="Q51" s="167" t="s">
        <v>112</v>
      </c>
      <c r="R51" s="168"/>
      <c r="S51" s="168">
        <v>0.01</v>
      </c>
      <c r="T51" s="107">
        <f t="shared" si="53"/>
        <v>106000</v>
      </c>
      <c r="U51" s="185">
        <f t="shared" si="54"/>
        <v>48.1818181818182</v>
      </c>
      <c r="V51" s="169">
        <v>20</v>
      </c>
      <c r="W51" s="185">
        <f t="shared" si="55"/>
        <v>963.636363636364</v>
      </c>
      <c r="X51" s="186"/>
      <c r="Y51" s="186"/>
      <c r="Z51" s="186"/>
      <c r="AA51" s="186"/>
    </row>
    <row r="52" ht="13.5" customHeight="1" spans="1:27">
      <c r="A52" s="106" t="s">
        <v>115</v>
      </c>
      <c r="B52" s="107" t="s">
        <v>23</v>
      </c>
      <c r="C52" s="107" t="s">
        <v>109</v>
      </c>
      <c r="D52" s="107">
        <v>8600000</v>
      </c>
      <c r="E52" s="117">
        <v>13500000</v>
      </c>
      <c r="F52" s="126">
        <f t="shared" si="56"/>
        <v>6750</v>
      </c>
      <c r="G52" s="127">
        <v>15000000</v>
      </c>
      <c r="H52" s="126">
        <f t="shared" si="46"/>
        <v>7500</v>
      </c>
      <c r="I52" s="107">
        <f t="shared" si="47"/>
        <v>1500000</v>
      </c>
      <c r="J52" s="140">
        <f t="shared" si="48"/>
        <v>0.111111111111111</v>
      </c>
      <c r="K52" s="107">
        <f t="shared" si="49"/>
        <v>4900000</v>
      </c>
      <c r="L52" s="140">
        <f t="shared" si="50"/>
        <v>0.569767441860465</v>
      </c>
      <c r="M52" s="107">
        <f t="shared" si="51"/>
        <v>6400000</v>
      </c>
      <c r="N52" s="140">
        <f t="shared" si="52"/>
        <v>0.744186046511628</v>
      </c>
      <c r="O52" s="106" t="s">
        <v>114</v>
      </c>
      <c r="P52" s="106" t="s">
        <v>111</v>
      </c>
      <c r="Q52" s="167" t="s">
        <v>112</v>
      </c>
      <c r="R52" s="168"/>
      <c r="S52" s="168">
        <v>0.01</v>
      </c>
      <c r="T52" s="107">
        <f t="shared" si="53"/>
        <v>86000</v>
      </c>
      <c r="U52" s="185">
        <f t="shared" si="54"/>
        <v>39.0909090909091</v>
      </c>
      <c r="V52" s="169">
        <v>20</v>
      </c>
      <c r="W52" s="185">
        <f t="shared" si="55"/>
        <v>781.818181818182</v>
      </c>
      <c r="X52" s="186"/>
      <c r="Y52" s="186"/>
      <c r="Z52" s="186"/>
      <c r="AA52" s="186"/>
    </row>
    <row r="53" ht="13.5" customHeight="1" spans="1:27">
      <c r="A53" s="108" t="s">
        <v>116</v>
      </c>
      <c r="B53" s="107" t="s">
        <v>23</v>
      </c>
      <c r="C53" s="107" t="s">
        <v>109</v>
      </c>
      <c r="D53" s="107">
        <v>11200000</v>
      </c>
      <c r="E53" s="117">
        <v>15300000</v>
      </c>
      <c r="F53" s="126">
        <f t="shared" si="56"/>
        <v>7650</v>
      </c>
      <c r="G53" s="127">
        <v>17000000</v>
      </c>
      <c r="H53" s="126">
        <f t="shared" si="46"/>
        <v>8500</v>
      </c>
      <c r="I53" s="107">
        <f t="shared" si="47"/>
        <v>1700000</v>
      </c>
      <c r="J53" s="140">
        <f t="shared" si="48"/>
        <v>0.111111111111111</v>
      </c>
      <c r="K53" s="107">
        <f t="shared" si="49"/>
        <v>4100000</v>
      </c>
      <c r="L53" s="140">
        <f t="shared" si="50"/>
        <v>0.366071428571429</v>
      </c>
      <c r="M53" s="107">
        <f t="shared" si="51"/>
        <v>5800000</v>
      </c>
      <c r="N53" s="140">
        <f t="shared" si="52"/>
        <v>0.517857142857143</v>
      </c>
      <c r="O53" s="106" t="s">
        <v>114</v>
      </c>
      <c r="P53" s="106" t="s">
        <v>111</v>
      </c>
      <c r="Q53" s="167" t="s">
        <v>112</v>
      </c>
      <c r="R53" s="168"/>
      <c r="S53" s="168">
        <v>0.01</v>
      </c>
      <c r="T53" s="107">
        <f t="shared" si="53"/>
        <v>112000</v>
      </c>
      <c r="U53" s="185">
        <f t="shared" si="54"/>
        <v>50.9090909090909</v>
      </c>
      <c r="V53" s="169">
        <v>20</v>
      </c>
      <c r="W53" s="185">
        <f t="shared" si="55"/>
        <v>1018.18181818182</v>
      </c>
      <c r="X53" s="186"/>
      <c r="Y53" s="186"/>
      <c r="Z53" s="186"/>
      <c r="AA53" s="186"/>
    </row>
    <row r="54" ht="14.25" customHeight="1" spans="1:27">
      <c r="A54" s="106" t="s">
        <v>117</v>
      </c>
      <c r="B54" s="107"/>
      <c r="C54" s="107"/>
      <c r="D54" s="107"/>
      <c r="E54" s="117"/>
      <c r="F54" s="126"/>
      <c r="G54" s="127"/>
      <c r="H54" s="126">
        <v>10000</v>
      </c>
      <c r="I54" s="107"/>
      <c r="J54" s="140"/>
      <c r="K54" s="107"/>
      <c r="L54" s="140"/>
      <c r="M54" s="107"/>
      <c r="N54" s="140"/>
      <c r="O54" s="106"/>
      <c r="P54" s="106"/>
      <c r="Q54" s="167"/>
      <c r="R54" s="168"/>
      <c r="S54" s="168"/>
      <c r="T54" s="169"/>
      <c r="U54" s="185"/>
      <c r="V54" s="169"/>
      <c r="W54" s="169"/>
      <c r="X54" s="186"/>
      <c r="Y54" s="186"/>
      <c r="Z54" s="186"/>
      <c r="AA54" s="186"/>
    </row>
    <row r="55" ht="14.25" customHeight="1" spans="1:27">
      <c r="A55" s="109" t="s">
        <v>118</v>
      </c>
      <c r="B55" s="77"/>
      <c r="C55" s="77"/>
      <c r="D55" s="77"/>
      <c r="E55" s="117">
        <v>6000000</v>
      </c>
      <c r="F55" s="118">
        <v>3000</v>
      </c>
      <c r="G55" s="119">
        <v>70000000</v>
      </c>
      <c r="H55" s="118">
        <v>3500</v>
      </c>
      <c r="I55" s="77"/>
      <c r="J55" s="136"/>
      <c r="K55" s="77"/>
      <c r="L55" s="136"/>
      <c r="M55" s="77"/>
      <c r="N55" s="136"/>
      <c r="O55" s="96"/>
      <c r="P55" s="96"/>
      <c r="Q55" s="161"/>
      <c r="R55" s="156"/>
      <c r="S55" s="156"/>
      <c r="T55" s="88"/>
      <c r="U55" s="176"/>
      <c r="V55" s="88"/>
      <c r="W55" s="88"/>
      <c r="X55" s="177"/>
      <c r="Y55" s="177"/>
      <c r="Z55" s="177"/>
      <c r="AA55" s="177"/>
    </row>
    <row r="56" ht="14.25" customHeight="1" spans="1:27">
      <c r="A56" s="110" t="s">
        <v>119</v>
      </c>
      <c r="B56" s="111"/>
      <c r="C56" s="111"/>
      <c r="D56" s="111"/>
      <c r="E56" s="128">
        <v>16000000</v>
      </c>
      <c r="F56" s="129">
        <v>8000</v>
      </c>
      <c r="G56" s="130">
        <v>17000000</v>
      </c>
      <c r="H56" s="129">
        <v>8500</v>
      </c>
      <c r="I56" s="111"/>
      <c r="J56" s="141"/>
      <c r="K56" s="111"/>
      <c r="L56" s="141"/>
      <c r="M56" s="111"/>
      <c r="N56" s="141"/>
      <c r="O56" s="152"/>
      <c r="P56" s="152"/>
      <c r="Q56" s="152"/>
      <c r="R56" s="170"/>
      <c r="S56" s="170"/>
      <c r="T56" s="134"/>
      <c r="U56" s="187"/>
      <c r="V56" s="134"/>
      <c r="W56" s="134"/>
      <c r="X56" s="188"/>
      <c r="Y56" s="188"/>
      <c r="Z56" s="188"/>
      <c r="AA56" s="188"/>
    </row>
    <row r="57" ht="14.25" customHeight="1" spans="1:27">
      <c r="A57" s="109" t="s">
        <v>120</v>
      </c>
      <c r="B57" s="77"/>
      <c r="C57" s="77"/>
      <c r="D57" s="77"/>
      <c r="E57" s="117">
        <v>2000000</v>
      </c>
      <c r="F57" s="118">
        <v>1000</v>
      </c>
      <c r="G57" s="119">
        <v>3000000</v>
      </c>
      <c r="H57" s="118">
        <v>1500</v>
      </c>
      <c r="I57" s="77"/>
      <c r="J57" s="136"/>
      <c r="K57" s="77"/>
      <c r="L57" s="136"/>
      <c r="M57" s="77"/>
      <c r="N57" s="136"/>
      <c r="O57" s="96" t="s">
        <v>121</v>
      </c>
      <c r="P57" s="96"/>
      <c r="Q57" s="161"/>
      <c r="R57" s="156"/>
      <c r="S57" s="156"/>
      <c r="T57" s="88"/>
      <c r="U57" s="176"/>
      <c r="V57" s="88"/>
      <c r="W57" s="88"/>
      <c r="X57" s="177"/>
      <c r="Y57" s="177"/>
      <c r="Z57" s="177"/>
      <c r="AA57" s="177"/>
    </row>
    <row r="58" ht="14.25" customHeight="1" spans="1:27">
      <c r="A58" s="96" t="s">
        <v>122</v>
      </c>
      <c r="B58" s="77"/>
      <c r="C58" s="77"/>
      <c r="D58" s="77">
        <v>600000</v>
      </c>
      <c r="E58" s="117">
        <v>1000000</v>
      </c>
      <c r="F58" s="118">
        <v>500</v>
      </c>
      <c r="G58" s="119">
        <v>1500000</v>
      </c>
      <c r="H58" s="118">
        <v>750</v>
      </c>
      <c r="I58" s="77"/>
      <c r="J58" s="136"/>
      <c r="K58" s="77"/>
      <c r="L58" s="136"/>
      <c r="M58" s="77"/>
      <c r="N58" s="136"/>
      <c r="O58" s="96"/>
      <c r="P58" s="96"/>
      <c r="Q58" s="161"/>
      <c r="R58" s="156"/>
      <c r="S58" s="156"/>
      <c r="T58" s="88"/>
      <c r="U58" s="176"/>
      <c r="V58" s="88"/>
      <c r="W58" s="88"/>
      <c r="X58" s="177"/>
      <c r="Y58" s="177"/>
      <c r="Z58" s="177"/>
      <c r="AA58" s="177"/>
    </row>
    <row r="59" ht="14.25" customHeight="1" spans="1:27">
      <c r="A59" s="96" t="s">
        <v>123</v>
      </c>
      <c r="B59" s="77"/>
      <c r="C59" s="77"/>
      <c r="D59" s="77">
        <v>3500000</v>
      </c>
      <c r="E59" s="117">
        <v>5000000</v>
      </c>
      <c r="F59" s="118">
        <v>2500</v>
      </c>
      <c r="G59" s="119">
        <v>6000000</v>
      </c>
      <c r="H59" s="118">
        <v>3000</v>
      </c>
      <c r="I59" s="77"/>
      <c r="J59" s="136"/>
      <c r="K59" s="77"/>
      <c r="L59" s="136"/>
      <c r="M59" s="77"/>
      <c r="N59" s="136"/>
      <c r="O59" s="96"/>
      <c r="P59" s="96"/>
      <c r="Q59" s="161"/>
      <c r="R59" s="156"/>
      <c r="S59" s="156"/>
      <c r="T59" s="88"/>
      <c r="U59" s="176"/>
      <c r="V59" s="88"/>
      <c r="W59" s="88"/>
      <c r="X59" s="177"/>
      <c r="Y59" s="177"/>
      <c r="Z59" s="177"/>
      <c r="AA59" s="177"/>
    </row>
    <row r="60" ht="14.25" customHeight="1" spans="1:27">
      <c r="A60" s="96" t="s">
        <v>124</v>
      </c>
      <c r="B60" s="77"/>
      <c r="C60" s="77"/>
      <c r="D60" s="77">
        <v>1000000</v>
      </c>
      <c r="E60" s="117">
        <v>2000000</v>
      </c>
      <c r="F60" s="118">
        <v>1000</v>
      </c>
      <c r="G60" s="119">
        <v>3000000</v>
      </c>
      <c r="H60" s="118">
        <v>1500</v>
      </c>
      <c r="I60" s="77"/>
      <c r="J60" s="136"/>
      <c r="K60" s="77"/>
      <c r="L60" s="136"/>
      <c r="M60" s="77"/>
      <c r="N60" s="136"/>
      <c r="O60" s="96"/>
      <c r="P60" s="96"/>
      <c r="Q60" s="161"/>
      <c r="R60" s="156"/>
      <c r="S60" s="156"/>
      <c r="T60" s="88"/>
      <c r="U60" s="176"/>
      <c r="V60" s="88"/>
      <c r="W60" s="88"/>
      <c r="X60" s="177"/>
      <c r="Y60" s="177"/>
      <c r="Z60" s="177"/>
      <c r="AA60" s="177"/>
    </row>
    <row r="61" ht="14.25" customHeight="1" spans="1:27">
      <c r="A61" s="96" t="s">
        <v>125</v>
      </c>
      <c r="B61" s="77"/>
      <c r="C61" s="77"/>
      <c r="D61" s="77"/>
      <c r="E61" s="117"/>
      <c r="F61" s="118"/>
      <c r="G61" s="119"/>
      <c r="H61" s="118"/>
      <c r="I61" s="77"/>
      <c r="J61" s="136"/>
      <c r="K61" s="77"/>
      <c r="L61" s="136"/>
      <c r="M61" s="77"/>
      <c r="N61" s="136"/>
      <c r="O61" s="96"/>
      <c r="P61" s="96"/>
      <c r="Q61" s="161"/>
      <c r="R61" s="156"/>
      <c r="S61" s="156"/>
      <c r="T61" s="88"/>
      <c r="U61" s="176"/>
      <c r="V61" s="88"/>
      <c r="W61" s="88"/>
      <c r="X61" s="177"/>
      <c r="Y61" s="177"/>
      <c r="Z61" s="177"/>
      <c r="AA61" s="177"/>
    </row>
    <row r="62" ht="14.25" customHeight="1" spans="1:27">
      <c r="A62" s="112" t="s">
        <v>126</v>
      </c>
      <c r="B62" s="113"/>
      <c r="C62" s="113"/>
      <c r="D62" s="113">
        <v>1500000</v>
      </c>
      <c r="E62" s="131">
        <v>2000000</v>
      </c>
      <c r="F62" s="132">
        <v>1000</v>
      </c>
      <c r="G62" s="133">
        <v>300000</v>
      </c>
      <c r="H62" s="132"/>
      <c r="I62" s="113"/>
      <c r="J62" s="142"/>
      <c r="K62" s="113"/>
      <c r="L62" s="142"/>
      <c r="M62" s="113"/>
      <c r="N62" s="142"/>
      <c r="O62" s="153"/>
      <c r="P62" s="154"/>
      <c r="Q62" s="154"/>
      <c r="R62" s="171"/>
      <c r="S62" s="172"/>
      <c r="T62" s="113"/>
      <c r="U62" s="189"/>
      <c r="V62" s="154"/>
      <c r="W62" s="189"/>
      <c r="X62" s="190"/>
      <c r="Y62" s="190"/>
      <c r="Z62" s="190"/>
      <c r="AA62" s="190"/>
    </row>
    <row r="63" ht="14.25" customHeight="1" spans="1:27">
      <c r="A63" s="112" t="s">
        <v>127</v>
      </c>
      <c r="B63" s="113" t="s">
        <v>23</v>
      </c>
      <c r="C63" s="113" t="s">
        <v>128</v>
      </c>
      <c r="D63" s="113">
        <v>800000</v>
      </c>
      <c r="E63" s="131">
        <v>1200000</v>
      </c>
      <c r="F63" s="132">
        <f t="shared" ref="F63:F64" si="57">E63/2000</f>
        <v>600</v>
      </c>
      <c r="G63" s="133">
        <v>1500000</v>
      </c>
      <c r="H63" s="132">
        <f t="shared" ref="H63:H64" si="58">G63/2000</f>
        <v>750</v>
      </c>
      <c r="I63" s="113">
        <f t="shared" ref="I63:I64" si="59">G63-E63</f>
        <v>300000</v>
      </c>
      <c r="J63" s="142">
        <f t="shared" ref="J63:J64" si="60">I63/E63</f>
        <v>0.25</v>
      </c>
      <c r="K63" s="113">
        <f t="shared" ref="K63:K64" si="61">E63-D63</f>
        <v>400000</v>
      </c>
      <c r="L63" s="142">
        <f t="shared" ref="L63:L64" si="62">K63/D63</f>
        <v>0.5</v>
      </c>
      <c r="M63" s="113">
        <f t="shared" ref="M63:M64" si="63">G63-D63</f>
        <v>700000</v>
      </c>
      <c r="N63" s="142">
        <f t="shared" ref="N63:N64" si="64">M63/D63</f>
        <v>0.875</v>
      </c>
      <c r="O63" s="153" t="s">
        <v>129</v>
      </c>
      <c r="P63" s="154"/>
      <c r="Q63" s="154"/>
      <c r="R63" s="171"/>
      <c r="S63" s="172">
        <v>0.05</v>
      </c>
      <c r="T63" s="113">
        <f t="shared" ref="T63:T64" si="65">D63*S63</f>
        <v>40000</v>
      </c>
      <c r="U63" s="189">
        <f t="shared" ref="U63:U64" si="66">T63/2200</f>
        <v>18.1818181818182</v>
      </c>
      <c r="V63" s="154"/>
      <c r="W63" s="189">
        <f t="shared" ref="W63:W64" si="67">U63*V63</f>
        <v>0</v>
      </c>
      <c r="X63" s="190"/>
      <c r="Y63" s="190"/>
      <c r="Z63" s="190"/>
      <c r="AA63" s="190"/>
    </row>
    <row r="64" ht="14.25" customHeight="1" spans="1:27">
      <c r="A64" s="112" t="s">
        <v>130</v>
      </c>
      <c r="B64" s="113" t="s">
        <v>23</v>
      </c>
      <c r="C64" s="113" t="s">
        <v>128</v>
      </c>
      <c r="D64" s="113">
        <v>1800000</v>
      </c>
      <c r="E64" s="131">
        <v>2500000</v>
      </c>
      <c r="F64" s="132">
        <f t="shared" si="57"/>
        <v>1250</v>
      </c>
      <c r="G64" s="133">
        <v>3500000</v>
      </c>
      <c r="H64" s="132">
        <f t="shared" si="58"/>
        <v>1750</v>
      </c>
      <c r="I64" s="113">
        <f t="shared" si="59"/>
        <v>1000000</v>
      </c>
      <c r="J64" s="142">
        <f t="shared" si="60"/>
        <v>0.4</v>
      </c>
      <c r="K64" s="113">
        <f t="shared" si="61"/>
        <v>700000</v>
      </c>
      <c r="L64" s="142">
        <f t="shared" si="62"/>
        <v>0.388888888888889</v>
      </c>
      <c r="M64" s="113">
        <f t="shared" si="63"/>
        <v>1700000</v>
      </c>
      <c r="N64" s="142">
        <f t="shared" si="64"/>
        <v>0.944444444444444</v>
      </c>
      <c r="O64" s="153" t="s">
        <v>129</v>
      </c>
      <c r="P64" s="154"/>
      <c r="Q64" s="154"/>
      <c r="R64" s="171"/>
      <c r="S64" s="172">
        <v>0.05</v>
      </c>
      <c r="T64" s="113">
        <f t="shared" si="65"/>
        <v>90000</v>
      </c>
      <c r="U64" s="189">
        <f t="shared" si="66"/>
        <v>40.9090909090909</v>
      </c>
      <c r="V64" s="154"/>
      <c r="W64" s="189">
        <f t="shared" si="67"/>
        <v>0</v>
      </c>
      <c r="X64" s="190"/>
      <c r="Y64" s="190"/>
      <c r="Z64" s="190"/>
      <c r="AA64" s="190"/>
    </row>
    <row r="65" ht="14.25" customHeight="1" spans="1:27">
      <c r="A65" s="112" t="s">
        <v>131</v>
      </c>
      <c r="B65" s="113"/>
      <c r="C65" s="113"/>
      <c r="D65" s="113"/>
      <c r="E65" s="131"/>
      <c r="F65" s="132"/>
      <c r="G65" s="133"/>
      <c r="H65" s="132"/>
      <c r="I65" s="113"/>
      <c r="J65" s="142"/>
      <c r="K65" s="113"/>
      <c r="L65" s="142"/>
      <c r="M65" s="113"/>
      <c r="N65" s="142"/>
      <c r="O65" s="153"/>
      <c r="P65" s="154"/>
      <c r="Q65" s="154"/>
      <c r="R65" s="171"/>
      <c r="S65" s="172"/>
      <c r="T65" s="113"/>
      <c r="U65" s="189"/>
      <c r="V65" s="154"/>
      <c r="W65" s="189"/>
      <c r="X65" s="190"/>
      <c r="Y65" s="190"/>
      <c r="Z65" s="190"/>
      <c r="AA65" s="190"/>
    </row>
    <row r="66" ht="14.25" customHeight="1" spans="1:27">
      <c r="A66" s="96" t="s">
        <v>132</v>
      </c>
      <c r="B66" s="77" t="s">
        <v>23</v>
      </c>
      <c r="C66" s="77" t="s">
        <v>133</v>
      </c>
      <c r="D66" s="77">
        <v>800000</v>
      </c>
      <c r="E66" s="117">
        <v>1500000</v>
      </c>
      <c r="F66" s="118">
        <f>E66/2000</f>
        <v>750</v>
      </c>
      <c r="G66" s="119">
        <v>2000000</v>
      </c>
      <c r="H66" s="118">
        <f>G66/2000</f>
        <v>1000</v>
      </c>
      <c r="I66" s="77">
        <f>G66-E66</f>
        <v>500000</v>
      </c>
      <c r="J66" s="136">
        <f>I66/E66</f>
        <v>0.333333333333333</v>
      </c>
      <c r="K66" s="77">
        <f>E66-D66</f>
        <v>700000</v>
      </c>
      <c r="L66" s="136">
        <f>K66/D66</f>
        <v>0.875</v>
      </c>
      <c r="M66" s="77">
        <f>G66-D66</f>
        <v>1200000</v>
      </c>
      <c r="N66" s="136">
        <f>M66/D66</f>
        <v>1.5</v>
      </c>
      <c r="O66" s="145" t="s">
        <v>134</v>
      </c>
      <c r="P66" s="96"/>
      <c r="Q66" s="161"/>
      <c r="R66" s="156"/>
      <c r="S66" s="156">
        <v>0.05</v>
      </c>
      <c r="T66" s="77">
        <f>D66*S66</f>
        <v>40000</v>
      </c>
      <c r="U66" s="176">
        <f>T66/2200</f>
        <v>18.1818181818182</v>
      </c>
      <c r="V66" s="88"/>
      <c r="W66" s="176">
        <f>U66*V66</f>
        <v>0</v>
      </c>
      <c r="X66" s="177"/>
      <c r="Y66" s="177"/>
      <c r="Z66" s="177"/>
      <c r="AA66" s="177"/>
    </row>
    <row r="67" ht="14.25" customHeight="1" spans="1:27">
      <c r="A67" s="96" t="s">
        <v>135</v>
      </c>
      <c r="B67" s="77"/>
      <c r="C67" s="77"/>
      <c r="D67" s="77">
        <v>10450000</v>
      </c>
      <c r="E67" s="117">
        <v>25000000</v>
      </c>
      <c r="F67" s="118"/>
      <c r="G67" s="119">
        <v>30000000</v>
      </c>
      <c r="H67" s="118">
        <v>15000</v>
      </c>
      <c r="I67" s="77"/>
      <c r="J67" s="136"/>
      <c r="K67" s="77"/>
      <c r="L67" s="136"/>
      <c r="M67" s="77"/>
      <c r="N67" s="136"/>
      <c r="O67" s="145"/>
      <c r="P67" s="96"/>
      <c r="Q67" s="161"/>
      <c r="R67" s="156"/>
      <c r="S67" s="156"/>
      <c r="T67" s="88"/>
      <c r="U67" s="176"/>
      <c r="V67" s="88"/>
      <c r="W67" s="88"/>
      <c r="X67" s="177"/>
      <c r="Y67" s="177"/>
      <c r="Z67" s="177"/>
      <c r="AA67" s="177"/>
    </row>
    <row r="68" ht="14.25" customHeight="1" spans="1:27">
      <c r="A68" s="191" t="s">
        <v>136</v>
      </c>
      <c r="B68" s="77" t="s">
        <v>23</v>
      </c>
      <c r="C68" s="77"/>
      <c r="D68" s="77">
        <v>5000000</v>
      </c>
      <c r="E68" s="117">
        <v>6500000</v>
      </c>
      <c r="F68" s="118">
        <v>3250</v>
      </c>
      <c r="G68" s="119">
        <v>7000000</v>
      </c>
      <c r="H68" s="118">
        <v>3500</v>
      </c>
      <c r="I68" s="77"/>
      <c r="J68" s="136"/>
      <c r="K68" s="77"/>
      <c r="L68" s="136"/>
      <c r="M68" s="77"/>
      <c r="N68" s="136"/>
      <c r="O68" s="96"/>
      <c r="P68" s="96"/>
      <c r="Q68" s="161"/>
      <c r="R68" s="156"/>
      <c r="S68" s="156"/>
      <c r="T68" s="88"/>
      <c r="U68" s="176"/>
      <c r="V68" s="88"/>
      <c r="W68" s="88"/>
      <c r="X68" s="177"/>
      <c r="Y68" s="177"/>
      <c r="Z68" s="177"/>
      <c r="AA68" s="177"/>
    </row>
    <row r="69" ht="14.25" customHeight="1" spans="1:27">
      <c r="A69" s="191" t="s">
        <v>137</v>
      </c>
      <c r="B69" s="77" t="s">
        <v>23</v>
      </c>
      <c r="C69" s="77"/>
      <c r="D69" s="77">
        <v>3000000</v>
      </c>
      <c r="E69" s="117">
        <v>4000000</v>
      </c>
      <c r="F69" s="118">
        <v>2000</v>
      </c>
      <c r="G69" s="119">
        <v>5000000</v>
      </c>
      <c r="H69" s="118">
        <v>2500</v>
      </c>
      <c r="I69" s="77"/>
      <c r="J69" s="136"/>
      <c r="K69" s="77"/>
      <c r="L69" s="136"/>
      <c r="M69" s="77"/>
      <c r="N69" s="136"/>
      <c r="O69" s="96"/>
      <c r="P69" s="96"/>
      <c r="Q69" s="161"/>
      <c r="R69" s="156"/>
      <c r="S69" s="156"/>
      <c r="T69" s="88"/>
      <c r="U69" s="176"/>
      <c r="V69" s="88"/>
      <c r="W69" s="88"/>
      <c r="X69" s="177"/>
      <c r="Y69" s="177"/>
      <c r="Z69" s="177"/>
      <c r="AA69" s="177"/>
    </row>
    <row r="70" ht="14.25" customHeight="1" spans="1:27">
      <c r="A70" s="191" t="s">
        <v>138</v>
      </c>
      <c r="B70" s="77" t="s">
        <v>23</v>
      </c>
      <c r="C70" s="77"/>
      <c r="D70" s="77">
        <v>3000000</v>
      </c>
      <c r="E70" s="117">
        <v>4000000</v>
      </c>
      <c r="F70" s="118">
        <v>2000</v>
      </c>
      <c r="G70" s="119">
        <v>5000000</v>
      </c>
      <c r="H70" s="118">
        <v>2500</v>
      </c>
      <c r="I70" s="77"/>
      <c r="J70" s="136"/>
      <c r="K70" s="77"/>
      <c r="L70" s="136"/>
      <c r="M70" s="77"/>
      <c r="N70" s="136"/>
      <c r="O70" s="96"/>
      <c r="P70" s="96"/>
      <c r="Q70" s="161"/>
      <c r="R70" s="156"/>
      <c r="S70" s="156"/>
      <c r="T70" s="88"/>
      <c r="U70" s="176"/>
      <c r="V70" s="88"/>
      <c r="W70" s="88"/>
      <c r="X70" s="177"/>
      <c r="Y70" s="177"/>
      <c r="Z70" s="177"/>
      <c r="AA70" s="177"/>
    </row>
    <row r="71" ht="14.25" customHeight="1" spans="1:27">
      <c r="A71" s="96" t="s">
        <v>139</v>
      </c>
      <c r="B71" s="77" t="s">
        <v>23</v>
      </c>
      <c r="C71" s="77" t="s">
        <v>140</v>
      </c>
      <c r="D71" s="192">
        <v>6700000</v>
      </c>
      <c r="E71" s="117">
        <v>10000000</v>
      </c>
      <c r="F71" s="118">
        <f t="shared" ref="F71:F72" si="68">E71/2000</f>
        <v>5000</v>
      </c>
      <c r="G71" s="119">
        <v>12000000</v>
      </c>
      <c r="H71" s="118">
        <f t="shared" ref="H71:H72" si="69">G71/2000</f>
        <v>6000</v>
      </c>
      <c r="I71" s="77">
        <f t="shared" ref="I71:I72" si="70">G71-E71</f>
        <v>2000000</v>
      </c>
      <c r="J71" s="136">
        <f t="shared" ref="J71:J72" si="71">I71/E71</f>
        <v>0.2</v>
      </c>
      <c r="K71" s="77">
        <f t="shared" ref="K71:K72" si="72">E71-D71</f>
        <v>3300000</v>
      </c>
      <c r="L71" s="136">
        <f t="shared" ref="L71:L72" si="73">K71/D71</f>
        <v>0.492537313432836</v>
      </c>
      <c r="M71" s="77">
        <f t="shared" ref="M71:M72" si="74">G71-D71</f>
        <v>5300000</v>
      </c>
      <c r="N71" s="136">
        <f t="shared" ref="N71:N72" si="75">M71/D71</f>
        <v>0.791044776119403</v>
      </c>
      <c r="O71" s="96" t="s">
        <v>141</v>
      </c>
      <c r="P71" s="96" t="s">
        <v>142</v>
      </c>
      <c r="Q71" s="161" t="s">
        <v>143</v>
      </c>
      <c r="R71" s="156"/>
      <c r="S71" s="156">
        <v>0.01</v>
      </c>
      <c r="T71" s="77">
        <f t="shared" ref="T71:T72" si="76">D71*S71</f>
        <v>67000</v>
      </c>
      <c r="U71" s="176">
        <f t="shared" ref="U71:U72" si="77">T71/2200</f>
        <v>30.4545454545455</v>
      </c>
      <c r="V71" s="88"/>
      <c r="W71" s="176">
        <f t="shared" ref="W71:W72" si="78">U71*V71</f>
        <v>0</v>
      </c>
      <c r="X71" s="177"/>
      <c r="Y71" s="177"/>
      <c r="Z71" s="177"/>
      <c r="AA71" s="177"/>
    </row>
    <row r="72" ht="14.25" customHeight="1" spans="1:27">
      <c r="A72" s="96" t="s">
        <v>144</v>
      </c>
      <c r="B72" s="77" t="s">
        <v>23</v>
      </c>
      <c r="C72" s="77" t="s">
        <v>140</v>
      </c>
      <c r="D72" s="192">
        <v>9200000</v>
      </c>
      <c r="E72" s="117">
        <v>14000000</v>
      </c>
      <c r="F72" s="118">
        <f t="shared" si="68"/>
        <v>7000</v>
      </c>
      <c r="G72" s="119">
        <v>16000000</v>
      </c>
      <c r="H72" s="118">
        <f t="shared" si="69"/>
        <v>8000</v>
      </c>
      <c r="I72" s="77">
        <f t="shared" si="70"/>
        <v>2000000</v>
      </c>
      <c r="J72" s="136">
        <f t="shared" si="71"/>
        <v>0.142857142857143</v>
      </c>
      <c r="K72" s="77">
        <f t="shared" si="72"/>
        <v>4800000</v>
      </c>
      <c r="L72" s="136">
        <f t="shared" si="73"/>
        <v>0.521739130434783</v>
      </c>
      <c r="M72" s="77">
        <f t="shared" si="74"/>
        <v>6800000</v>
      </c>
      <c r="N72" s="136">
        <f t="shared" si="75"/>
        <v>0.739130434782609</v>
      </c>
      <c r="O72" s="96" t="s">
        <v>141</v>
      </c>
      <c r="P72" s="96" t="s">
        <v>142</v>
      </c>
      <c r="Q72" s="161" t="s">
        <v>143</v>
      </c>
      <c r="R72" s="156"/>
      <c r="S72" s="156">
        <v>0.01</v>
      </c>
      <c r="T72" s="77">
        <f t="shared" si="76"/>
        <v>92000</v>
      </c>
      <c r="U72" s="176">
        <f t="shared" si="77"/>
        <v>41.8181818181818</v>
      </c>
      <c r="V72" s="88"/>
      <c r="W72" s="176">
        <f t="shared" si="78"/>
        <v>0</v>
      </c>
      <c r="X72" s="177"/>
      <c r="Y72" s="177"/>
      <c r="Z72" s="177"/>
      <c r="AA72" s="177"/>
    </row>
    <row r="73" ht="14.25" customHeight="1" spans="1:27">
      <c r="A73" s="96" t="s">
        <v>145</v>
      </c>
      <c r="B73" s="77"/>
      <c r="C73" s="77"/>
      <c r="D73" s="192">
        <v>9200000</v>
      </c>
      <c r="E73" s="117">
        <v>16000000</v>
      </c>
      <c r="F73" s="118">
        <v>8000</v>
      </c>
      <c r="G73" s="119">
        <v>18000000</v>
      </c>
      <c r="H73" s="118">
        <v>9000</v>
      </c>
      <c r="I73" s="77"/>
      <c r="J73" s="136"/>
      <c r="K73" s="77"/>
      <c r="L73" s="136"/>
      <c r="M73" s="77"/>
      <c r="N73" s="136"/>
      <c r="O73" s="96" t="s">
        <v>146</v>
      </c>
      <c r="P73" s="96"/>
      <c r="Q73" s="161"/>
      <c r="R73" s="156"/>
      <c r="S73" s="156"/>
      <c r="T73" s="88"/>
      <c r="U73" s="176"/>
      <c r="V73" s="88"/>
      <c r="W73" s="88"/>
      <c r="X73" s="177"/>
      <c r="Y73" s="177"/>
      <c r="Z73" s="177"/>
      <c r="AA73" s="177"/>
    </row>
    <row r="74" ht="14.25" customHeight="1" spans="1:27">
      <c r="A74" s="91" t="s">
        <v>147</v>
      </c>
      <c r="B74" s="77" t="s">
        <v>23</v>
      </c>
      <c r="C74" s="77" t="s">
        <v>148</v>
      </c>
      <c r="D74" s="77">
        <f>SUM(2400000+4300000)</f>
        <v>6700000</v>
      </c>
      <c r="E74" s="117">
        <v>10000000</v>
      </c>
      <c r="F74" s="118">
        <f t="shared" ref="F74:F81" si="79">E74/2000</f>
        <v>5000</v>
      </c>
      <c r="G74" s="119">
        <v>12000000</v>
      </c>
      <c r="H74" s="118">
        <f t="shared" ref="H74:H76" si="80">G74/2000</f>
        <v>6000</v>
      </c>
      <c r="I74" s="77">
        <f t="shared" ref="I74:I76" si="81">G74-E74</f>
        <v>2000000</v>
      </c>
      <c r="J74" s="136">
        <f t="shared" ref="J74:J76" si="82">I74/E74</f>
        <v>0.2</v>
      </c>
      <c r="K74" s="77">
        <f t="shared" ref="K74:K76" si="83">E74-D74</f>
        <v>3300000</v>
      </c>
      <c r="L74" s="136">
        <f t="shared" ref="L74:L76" si="84">K74/D74</f>
        <v>0.492537313432836</v>
      </c>
      <c r="M74" s="77">
        <f t="shared" ref="M74:M76" si="85">G74-D74</f>
        <v>5300000</v>
      </c>
      <c r="N74" s="136">
        <f t="shared" ref="N74:N76" si="86">M74/D74</f>
        <v>0.791044776119403</v>
      </c>
      <c r="O74" s="88"/>
      <c r="P74" s="96"/>
      <c r="Q74" s="161"/>
      <c r="R74" s="156"/>
      <c r="S74" s="156">
        <v>0.02</v>
      </c>
      <c r="T74" s="77">
        <f t="shared" ref="T74:T76" si="87">D74*S74</f>
        <v>134000</v>
      </c>
      <c r="U74" s="176">
        <f t="shared" ref="U74:U76" si="88">T74/2200</f>
        <v>60.9090909090909</v>
      </c>
      <c r="V74" s="88"/>
      <c r="W74" s="176">
        <f t="shared" ref="W74:W76" si="89">U74*V74</f>
        <v>0</v>
      </c>
      <c r="X74" s="177"/>
      <c r="Y74" s="177"/>
      <c r="Z74" s="177"/>
      <c r="AA74" s="177"/>
    </row>
    <row r="75" ht="14.25" customHeight="1" spans="1:27">
      <c r="A75" s="91" t="s">
        <v>149</v>
      </c>
      <c r="B75" s="77" t="s">
        <v>23</v>
      </c>
      <c r="C75" s="77" t="s">
        <v>148</v>
      </c>
      <c r="D75" s="77">
        <f>SUM(2400000+6800000)</f>
        <v>9200000</v>
      </c>
      <c r="E75" s="117">
        <v>14000000</v>
      </c>
      <c r="F75" s="118">
        <f t="shared" si="79"/>
        <v>7000</v>
      </c>
      <c r="G75" s="119">
        <v>16000000</v>
      </c>
      <c r="H75" s="118">
        <f t="shared" si="80"/>
        <v>8000</v>
      </c>
      <c r="I75" s="77">
        <f t="shared" si="81"/>
        <v>2000000</v>
      </c>
      <c r="J75" s="136">
        <f t="shared" si="82"/>
        <v>0.142857142857143</v>
      </c>
      <c r="K75" s="77">
        <f t="shared" si="83"/>
        <v>4800000</v>
      </c>
      <c r="L75" s="136">
        <f t="shared" si="84"/>
        <v>0.521739130434783</v>
      </c>
      <c r="M75" s="77">
        <f t="shared" si="85"/>
        <v>6800000</v>
      </c>
      <c r="N75" s="136">
        <f t="shared" si="86"/>
        <v>0.739130434782609</v>
      </c>
      <c r="O75" s="88"/>
      <c r="P75" s="96"/>
      <c r="Q75" s="161"/>
      <c r="R75" s="156"/>
      <c r="S75" s="156">
        <v>0.02</v>
      </c>
      <c r="T75" s="77">
        <f t="shared" si="87"/>
        <v>184000</v>
      </c>
      <c r="U75" s="176">
        <f t="shared" si="88"/>
        <v>83.6363636363636</v>
      </c>
      <c r="V75" s="88"/>
      <c r="W75" s="176">
        <f t="shared" si="89"/>
        <v>0</v>
      </c>
      <c r="X75" s="177"/>
      <c r="Y75" s="177"/>
      <c r="Z75" s="177"/>
      <c r="AA75" s="177"/>
    </row>
    <row r="76" ht="14.25" customHeight="1" spans="1:27">
      <c r="A76" s="96" t="s">
        <v>150</v>
      </c>
      <c r="B76" s="77" t="s">
        <v>23</v>
      </c>
      <c r="C76" s="77" t="s">
        <v>151</v>
      </c>
      <c r="D76" s="77">
        <v>50000000</v>
      </c>
      <c r="E76" s="117">
        <v>60000000</v>
      </c>
      <c r="F76" s="118">
        <f t="shared" si="79"/>
        <v>30000</v>
      </c>
      <c r="G76" s="119">
        <v>90000000</v>
      </c>
      <c r="H76" s="118">
        <f t="shared" si="80"/>
        <v>45000</v>
      </c>
      <c r="I76" s="77">
        <f t="shared" si="81"/>
        <v>30000000</v>
      </c>
      <c r="J76" s="136">
        <f t="shared" si="82"/>
        <v>0.5</v>
      </c>
      <c r="K76" s="77">
        <f t="shared" si="83"/>
        <v>10000000</v>
      </c>
      <c r="L76" s="136">
        <f t="shared" si="84"/>
        <v>0.2</v>
      </c>
      <c r="M76" s="77">
        <f t="shared" si="85"/>
        <v>40000000</v>
      </c>
      <c r="N76" s="136">
        <f t="shared" si="86"/>
        <v>0.8</v>
      </c>
      <c r="O76" s="145" t="s">
        <v>152</v>
      </c>
      <c r="P76" s="96" t="s">
        <v>153</v>
      </c>
      <c r="Q76" s="161"/>
      <c r="R76" s="156"/>
      <c r="S76" s="156">
        <v>0.01</v>
      </c>
      <c r="T76" s="77">
        <f t="shared" si="87"/>
        <v>500000</v>
      </c>
      <c r="U76" s="176">
        <f t="shared" si="88"/>
        <v>227.272727272727</v>
      </c>
      <c r="V76" s="88"/>
      <c r="W76" s="176">
        <f t="shared" si="89"/>
        <v>0</v>
      </c>
      <c r="X76" s="177"/>
      <c r="Y76" s="177"/>
      <c r="Z76" s="177"/>
      <c r="AA76" s="177"/>
    </row>
    <row r="77" ht="14.25" customHeight="1" spans="1:27">
      <c r="A77" s="96" t="s">
        <v>154</v>
      </c>
      <c r="B77" s="77"/>
      <c r="C77" s="77"/>
      <c r="D77" s="77">
        <v>1850000</v>
      </c>
      <c r="E77" s="117">
        <v>2500000</v>
      </c>
      <c r="F77" s="118">
        <f t="shared" si="79"/>
        <v>1250</v>
      </c>
      <c r="G77" s="119">
        <v>3000000</v>
      </c>
      <c r="H77" s="118">
        <v>1500</v>
      </c>
      <c r="I77" s="77"/>
      <c r="J77" s="136"/>
      <c r="K77" s="77"/>
      <c r="L77" s="136"/>
      <c r="M77" s="77"/>
      <c r="N77" s="136"/>
      <c r="O77" s="145"/>
      <c r="P77" s="96"/>
      <c r="Q77" s="161"/>
      <c r="R77" s="156"/>
      <c r="S77" s="156"/>
      <c r="T77" s="88"/>
      <c r="U77" s="176"/>
      <c r="V77" s="88"/>
      <c r="W77" s="88"/>
      <c r="X77" s="177"/>
      <c r="Y77" s="177"/>
      <c r="Z77" s="177"/>
      <c r="AA77" s="177"/>
    </row>
    <row r="78" ht="14.25" customHeight="1" spans="1:27">
      <c r="A78" s="96" t="s">
        <v>155</v>
      </c>
      <c r="B78" s="77" t="s">
        <v>23</v>
      </c>
      <c r="C78" s="77" t="s">
        <v>156</v>
      </c>
      <c r="D78" s="77">
        <v>800000</v>
      </c>
      <c r="E78" s="117">
        <v>1200000</v>
      </c>
      <c r="F78" s="118">
        <f t="shared" si="79"/>
        <v>600</v>
      </c>
      <c r="G78" s="119">
        <v>1400000</v>
      </c>
      <c r="H78" s="118">
        <f t="shared" ref="H78:H81" si="90">G78/2000</f>
        <v>700</v>
      </c>
      <c r="I78" s="77">
        <f t="shared" ref="I78:I81" si="91">G78-E78</f>
        <v>200000</v>
      </c>
      <c r="J78" s="136">
        <f t="shared" ref="J78:J81" si="92">I78/E78</f>
        <v>0.166666666666667</v>
      </c>
      <c r="K78" s="77">
        <f t="shared" ref="K78:K81" si="93">E78-D78</f>
        <v>400000</v>
      </c>
      <c r="L78" s="136">
        <f t="shared" ref="L78:L81" si="94">K78/D78</f>
        <v>0.5</v>
      </c>
      <c r="M78" s="77">
        <f t="shared" ref="M78:M81" si="95">G78-D78</f>
        <v>600000</v>
      </c>
      <c r="N78" s="136">
        <f t="shared" ref="N78:N81" si="96">M78/D78</f>
        <v>0.75</v>
      </c>
      <c r="O78" s="145" t="s">
        <v>157</v>
      </c>
      <c r="P78" s="96"/>
      <c r="Q78" s="161"/>
      <c r="R78" s="156"/>
      <c r="S78" s="156">
        <v>0.02</v>
      </c>
      <c r="T78" s="77">
        <f t="shared" ref="T78:T81" si="97">D78*S78</f>
        <v>16000</v>
      </c>
      <c r="U78" s="176">
        <f t="shared" ref="U78:U81" si="98">T78/2200</f>
        <v>7.27272727272727</v>
      </c>
      <c r="V78" s="88"/>
      <c r="W78" s="176">
        <f t="shared" ref="W78:W81" si="99">U78*V78</f>
        <v>0</v>
      </c>
      <c r="X78" s="177"/>
      <c r="Y78" s="177"/>
      <c r="Z78" s="177"/>
      <c r="AA78" s="177"/>
    </row>
    <row r="79" ht="14.25" customHeight="1" spans="1:27">
      <c r="A79" s="96" t="s">
        <v>158</v>
      </c>
      <c r="B79" s="77" t="s">
        <v>23</v>
      </c>
      <c r="C79" s="77" t="s">
        <v>159</v>
      </c>
      <c r="D79" s="77">
        <v>400000</v>
      </c>
      <c r="E79" s="117">
        <v>1000000</v>
      </c>
      <c r="F79" s="118">
        <f t="shared" si="79"/>
        <v>500</v>
      </c>
      <c r="G79" s="119">
        <v>1500000</v>
      </c>
      <c r="H79" s="118">
        <f t="shared" si="90"/>
        <v>750</v>
      </c>
      <c r="I79" s="77">
        <f t="shared" si="91"/>
        <v>500000</v>
      </c>
      <c r="J79" s="136">
        <f t="shared" si="92"/>
        <v>0.5</v>
      </c>
      <c r="K79" s="77">
        <f t="shared" si="93"/>
        <v>600000</v>
      </c>
      <c r="L79" s="136">
        <f t="shared" si="94"/>
        <v>1.5</v>
      </c>
      <c r="M79" s="77">
        <f t="shared" si="95"/>
        <v>1100000</v>
      </c>
      <c r="N79" s="136">
        <f t="shared" si="96"/>
        <v>2.75</v>
      </c>
      <c r="O79" s="145" t="s">
        <v>160</v>
      </c>
      <c r="P79" s="96"/>
      <c r="Q79" s="161"/>
      <c r="R79" s="156"/>
      <c r="S79" s="156">
        <v>0.02</v>
      </c>
      <c r="T79" s="77">
        <f t="shared" si="97"/>
        <v>8000</v>
      </c>
      <c r="U79" s="176">
        <f t="shared" si="98"/>
        <v>3.63636363636364</v>
      </c>
      <c r="V79" s="88"/>
      <c r="W79" s="176">
        <f t="shared" si="99"/>
        <v>0</v>
      </c>
      <c r="X79" s="177"/>
      <c r="Y79" s="177"/>
      <c r="Z79" s="177"/>
      <c r="AA79" s="177"/>
    </row>
    <row r="80" ht="14.25" customHeight="1" spans="1:27">
      <c r="A80" s="96" t="s">
        <v>161</v>
      </c>
      <c r="B80" s="77" t="s">
        <v>23</v>
      </c>
      <c r="C80" s="77" t="s">
        <v>159</v>
      </c>
      <c r="D80" s="77">
        <v>1400000</v>
      </c>
      <c r="E80" s="117">
        <v>2000000</v>
      </c>
      <c r="F80" s="118">
        <f t="shared" si="79"/>
        <v>1000</v>
      </c>
      <c r="G80" s="119">
        <v>2500000</v>
      </c>
      <c r="H80" s="118">
        <f t="shared" si="90"/>
        <v>1250</v>
      </c>
      <c r="I80" s="77">
        <f t="shared" si="91"/>
        <v>500000</v>
      </c>
      <c r="J80" s="136">
        <f t="shared" si="92"/>
        <v>0.25</v>
      </c>
      <c r="K80" s="77">
        <f t="shared" si="93"/>
        <v>600000</v>
      </c>
      <c r="L80" s="136">
        <f t="shared" si="94"/>
        <v>0.428571428571429</v>
      </c>
      <c r="M80" s="77">
        <f t="shared" si="95"/>
        <v>1100000</v>
      </c>
      <c r="N80" s="136">
        <f t="shared" si="96"/>
        <v>0.785714285714286</v>
      </c>
      <c r="O80" s="145" t="s">
        <v>160</v>
      </c>
      <c r="P80" s="96"/>
      <c r="Q80" s="161"/>
      <c r="R80" s="156"/>
      <c r="S80" s="156">
        <v>0.02</v>
      </c>
      <c r="T80" s="77">
        <f t="shared" si="97"/>
        <v>28000</v>
      </c>
      <c r="U80" s="176">
        <f t="shared" si="98"/>
        <v>12.7272727272727</v>
      </c>
      <c r="V80" s="88"/>
      <c r="W80" s="176">
        <f t="shared" si="99"/>
        <v>0</v>
      </c>
      <c r="X80" s="177"/>
      <c r="Y80" s="177"/>
      <c r="Z80" s="177"/>
      <c r="AA80" s="177"/>
    </row>
    <row r="81" ht="14.25" customHeight="1" spans="1:27">
      <c r="A81" s="96" t="s">
        <v>162</v>
      </c>
      <c r="B81" s="77" t="s">
        <v>23</v>
      </c>
      <c r="C81" s="77" t="s">
        <v>159</v>
      </c>
      <c r="D81" s="77">
        <v>400000</v>
      </c>
      <c r="E81" s="117">
        <v>1000000</v>
      </c>
      <c r="F81" s="118">
        <f t="shared" si="79"/>
        <v>500</v>
      </c>
      <c r="G81" s="119">
        <v>1500000</v>
      </c>
      <c r="H81" s="118">
        <f t="shared" si="90"/>
        <v>750</v>
      </c>
      <c r="I81" s="77">
        <f t="shared" si="91"/>
        <v>500000</v>
      </c>
      <c r="J81" s="136">
        <f t="shared" si="92"/>
        <v>0.5</v>
      </c>
      <c r="K81" s="77">
        <f t="shared" si="93"/>
        <v>600000</v>
      </c>
      <c r="L81" s="136">
        <f t="shared" si="94"/>
        <v>1.5</v>
      </c>
      <c r="M81" s="77">
        <f t="shared" si="95"/>
        <v>1100000</v>
      </c>
      <c r="N81" s="136">
        <f t="shared" si="96"/>
        <v>2.75</v>
      </c>
      <c r="O81" s="145" t="s">
        <v>160</v>
      </c>
      <c r="P81" s="96" t="s">
        <v>163</v>
      </c>
      <c r="Q81" s="161"/>
      <c r="R81" s="156"/>
      <c r="S81" s="156">
        <v>0.02</v>
      </c>
      <c r="T81" s="77">
        <f t="shared" si="97"/>
        <v>8000</v>
      </c>
      <c r="U81" s="176">
        <f t="shared" si="98"/>
        <v>3.63636363636364</v>
      </c>
      <c r="V81" s="88"/>
      <c r="W81" s="176">
        <f t="shared" si="99"/>
        <v>0</v>
      </c>
      <c r="X81" s="177"/>
      <c r="Y81" s="177"/>
      <c r="Z81" s="177"/>
      <c r="AA81" s="177"/>
    </row>
    <row r="82" ht="14.25" customHeight="1" spans="1:27">
      <c r="A82" s="96" t="s">
        <v>164</v>
      </c>
      <c r="B82" s="77"/>
      <c r="C82" s="77"/>
      <c r="D82" s="77">
        <v>1400000</v>
      </c>
      <c r="E82" s="117">
        <v>2000000</v>
      </c>
      <c r="F82" s="118">
        <v>1000</v>
      </c>
      <c r="G82" s="119"/>
      <c r="H82" s="118"/>
      <c r="I82" s="77"/>
      <c r="J82" s="136"/>
      <c r="K82" s="77"/>
      <c r="L82" s="136"/>
      <c r="M82" s="77"/>
      <c r="N82" s="136"/>
      <c r="O82" s="145"/>
      <c r="P82" s="96"/>
      <c r="Q82" s="161"/>
      <c r="R82" s="156"/>
      <c r="S82" s="156"/>
      <c r="T82" s="88"/>
      <c r="U82" s="176"/>
      <c r="V82" s="88"/>
      <c r="W82" s="88"/>
      <c r="X82" s="177"/>
      <c r="Y82" s="177"/>
      <c r="Z82" s="177"/>
      <c r="AA82" s="177"/>
    </row>
    <row r="83" ht="14.25" customHeight="1" spans="1:27">
      <c r="A83" s="193" t="s">
        <v>165</v>
      </c>
      <c r="B83" s="77" t="s">
        <v>23</v>
      </c>
      <c r="C83" s="77" t="s">
        <v>166</v>
      </c>
      <c r="D83" s="77">
        <v>1346000</v>
      </c>
      <c r="E83" s="117">
        <v>3500000</v>
      </c>
      <c r="F83" s="118">
        <f t="shared" ref="F83:F84" si="100">E83/2000</f>
        <v>1750</v>
      </c>
      <c r="G83" s="119">
        <v>4000000</v>
      </c>
      <c r="H83" s="118">
        <f t="shared" ref="H83:H84" si="101">G83/2000</f>
        <v>2000</v>
      </c>
      <c r="I83" s="77">
        <f t="shared" ref="I83:I84" si="102">G83-E83</f>
        <v>500000</v>
      </c>
      <c r="J83" s="136">
        <f t="shared" ref="J83:J84" si="103">I83/E83</f>
        <v>0.142857142857143</v>
      </c>
      <c r="K83" s="77">
        <f t="shared" ref="K83:K84" si="104">E83-D83</f>
        <v>2154000</v>
      </c>
      <c r="L83" s="136">
        <f t="shared" ref="L83:L84" si="105">K83/D83</f>
        <v>1.60029717682021</v>
      </c>
      <c r="M83" s="77">
        <f t="shared" ref="M83:M84" si="106">G83-D83</f>
        <v>2654000</v>
      </c>
      <c r="N83" s="136">
        <f t="shared" ref="N83:N84" si="107">M83/D83</f>
        <v>1.97176820208024</v>
      </c>
      <c r="O83" s="145" t="s">
        <v>167</v>
      </c>
      <c r="P83" s="96" t="s">
        <v>168</v>
      </c>
      <c r="Q83" s="161"/>
      <c r="R83" s="156"/>
      <c r="S83" s="156">
        <v>0.02</v>
      </c>
      <c r="T83" s="77">
        <f t="shared" ref="T83:T84" si="108">D83*S83</f>
        <v>26920</v>
      </c>
      <c r="U83" s="176">
        <f t="shared" ref="U83:U84" si="109">T83/2200</f>
        <v>12.2363636363636</v>
      </c>
      <c r="V83" s="88"/>
      <c r="W83" s="176">
        <f t="shared" ref="W83:W84" si="110">U83*V83</f>
        <v>0</v>
      </c>
      <c r="X83" s="177"/>
      <c r="Y83" s="177"/>
      <c r="Z83" s="177"/>
      <c r="AA83" s="177"/>
    </row>
    <row r="84" ht="14.25" customHeight="1" spans="1:27">
      <c r="A84" s="193" t="s">
        <v>169</v>
      </c>
      <c r="B84" s="77" t="s">
        <v>23</v>
      </c>
      <c r="C84" s="77" t="s">
        <v>166</v>
      </c>
      <c r="D84" s="77">
        <v>800000</v>
      </c>
      <c r="E84" s="117">
        <v>2000000</v>
      </c>
      <c r="F84" s="118">
        <f t="shared" si="100"/>
        <v>1000</v>
      </c>
      <c r="G84" s="119">
        <v>4000000</v>
      </c>
      <c r="H84" s="118">
        <f t="shared" si="101"/>
        <v>2000</v>
      </c>
      <c r="I84" s="77">
        <f t="shared" si="102"/>
        <v>2000000</v>
      </c>
      <c r="J84" s="136">
        <f t="shared" si="103"/>
        <v>1</v>
      </c>
      <c r="K84" s="77">
        <f t="shared" si="104"/>
        <v>1200000</v>
      </c>
      <c r="L84" s="136">
        <f t="shared" si="105"/>
        <v>1.5</v>
      </c>
      <c r="M84" s="77">
        <f t="shared" si="106"/>
        <v>3200000</v>
      </c>
      <c r="N84" s="136">
        <f t="shared" si="107"/>
        <v>4</v>
      </c>
      <c r="O84" s="145" t="s">
        <v>167</v>
      </c>
      <c r="P84" s="96" t="s">
        <v>168</v>
      </c>
      <c r="Q84" s="161"/>
      <c r="R84" s="156"/>
      <c r="S84" s="156">
        <v>0.02</v>
      </c>
      <c r="T84" s="77">
        <f t="shared" si="108"/>
        <v>16000</v>
      </c>
      <c r="U84" s="176">
        <f t="shared" si="109"/>
        <v>7.27272727272727</v>
      </c>
      <c r="V84" s="88"/>
      <c r="W84" s="176">
        <f t="shared" si="110"/>
        <v>0</v>
      </c>
      <c r="X84" s="177"/>
      <c r="Y84" s="177"/>
      <c r="Z84" s="177"/>
      <c r="AA84" s="177"/>
    </row>
    <row r="85" ht="14.25" customHeight="1" spans="1:27">
      <c r="A85" s="193" t="s">
        <v>170</v>
      </c>
      <c r="B85" s="77"/>
      <c r="C85" s="77"/>
      <c r="D85" s="77">
        <v>1542000</v>
      </c>
      <c r="E85" s="117">
        <v>4000000</v>
      </c>
      <c r="F85" s="118">
        <v>2000</v>
      </c>
      <c r="G85" s="119">
        <v>4500000</v>
      </c>
      <c r="H85" s="118">
        <v>2250</v>
      </c>
      <c r="I85" s="77"/>
      <c r="J85" s="136"/>
      <c r="K85" s="77"/>
      <c r="L85" s="136"/>
      <c r="M85" s="77"/>
      <c r="N85" s="136"/>
      <c r="O85" s="145"/>
      <c r="P85" s="96"/>
      <c r="Q85" s="161"/>
      <c r="R85" s="156"/>
      <c r="S85" s="156"/>
      <c r="T85" s="88"/>
      <c r="U85" s="176"/>
      <c r="V85" s="88"/>
      <c r="W85" s="88"/>
      <c r="X85" s="177"/>
      <c r="Y85" s="177"/>
      <c r="Z85" s="177"/>
      <c r="AA85" s="177"/>
    </row>
    <row r="86" ht="14.25" customHeight="1" spans="1:27">
      <c r="A86" s="193" t="s">
        <v>171</v>
      </c>
      <c r="B86" s="77"/>
      <c r="C86" s="77"/>
      <c r="D86" s="77"/>
      <c r="E86" s="117"/>
      <c r="F86" s="118"/>
      <c r="G86" s="119"/>
      <c r="H86" s="118"/>
      <c r="I86" s="77"/>
      <c r="J86" s="136"/>
      <c r="K86" s="77"/>
      <c r="L86" s="136"/>
      <c r="M86" s="77"/>
      <c r="N86" s="136"/>
      <c r="O86" s="145"/>
      <c r="P86" s="96"/>
      <c r="Q86" s="161"/>
      <c r="R86" s="156"/>
      <c r="S86" s="156"/>
      <c r="T86" s="88"/>
      <c r="U86" s="176"/>
      <c r="V86" s="88"/>
      <c r="W86" s="88"/>
      <c r="X86" s="177"/>
      <c r="Y86" s="177"/>
      <c r="Z86" s="177"/>
      <c r="AA86" s="177"/>
    </row>
    <row r="87" ht="14.25" customHeight="1" spans="1:27">
      <c r="A87" s="96" t="s">
        <v>172</v>
      </c>
      <c r="B87" s="77"/>
      <c r="C87" s="77"/>
      <c r="D87" s="77"/>
      <c r="E87" s="117">
        <v>2500000</v>
      </c>
      <c r="F87" s="118">
        <v>1250</v>
      </c>
      <c r="G87" s="119">
        <v>3000000</v>
      </c>
      <c r="H87" s="118">
        <v>1500</v>
      </c>
      <c r="I87" s="77"/>
      <c r="J87" s="136"/>
      <c r="K87" s="77"/>
      <c r="L87" s="136"/>
      <c r="M87" s="77"/>
      <c r="N87" s="136"/>
      <c r="O87" s="145" t="s">
        <v>173</v>
      </c>
      <c r="P87" s="96" t="s">
        <v>174</v>
      </c>
      <c r="Q87" s="161"/>
      <c r="R87" s="156"/>
      <c r="S87" s="156"/>
      <c r="T87" s="88"/>
      <c r="U87" s="176"/>
      <c r="V87" s="88"/>
      <c r="W87" s="88"/>
      <c r="X87" s="177"/>
      <c r="Y87" s="177"/>
      <c r="Z87" s="177"/>
      <c r="AA87" s="177"/>
    </row>
    <row r="88" ht="14.25" customHeight="1" spans="1:27">
      <c r="A88" s="96" t="s">
        <v>175</v>
      </c>
      <c r="B88" s="77" t="s">
        <v>176</v>
      </c>
      <c r="C88" s="77" t="s">
        <v>177</v>
      </c>
      <c r="D88" s="77">
        <v>450000</v>
      </c>
      <c r="E88" s="117">
        <v>800000</v>
      </c>
      <c r="F88" s="118">
        <f>E88/2000</f>
        <v>400</v>
      </c>
      <c r="G88" s="119">
        <v>1000000</v>
      </c>
      <c r="H88" s="118">
        <f>G88/2000</f>
        <v>500</v>
      </c>
      <c r="I88" s="77">
        <f>G88-E88</f>
        <v>200000</v>
      </c>
      <c r="J88" s="136">
        <f>I88/E88</f>
        <v>0.25</v>
      </c>
      <c r="K88" s="77">
        <f>E88-D88</f>
        <v>350000</v>
      </c>
      <c r="L88" s="136">
        <f>K88/D88</f>
        <v>0.777777777777778</v>
      </c>
      <c r="M88" s="77">
        <f>G88-D88</f>
        <v>550000</v>
      </c>
      <c r="N88" s="136">
        <f>M88/D88</f>
        <v>1.22222222222222</v>
      </c>
      <c r="O88" s="145"/>
      <c r="P88" s="96"/>
      <c r="Q88" s="161"/>
      <c r="R88" s="156"/>
      <c r="S88" s="156">
        <v>0.02</v>
      </c>
      <c r="T88" s="77">
        <f>D88*S88</f>
        <v>9000</v>
      </c>
      <c r="U88" s="176">
        <f>T88/2200</f>
        <v>4.09090909090909</v>
      </c>
      <c r="V88" s="88"/>
      <c r="W88" s="176">
        <f>U88*V88</f>
        <v>0</v>
      </c>
      <c r="X88" s="177"/>
      <c r="Y88" s="177"/>
      <c r="Z88" s="177"/>
      <c r="AA88" s="177"/>
    </row>
    <row r="89" ht="14.25" customHeight="1" spans="1:27">
      <c r="A89" s="194" t="s">
        <v>178</v>
      </c>
      <c r="B89" s="77"/>
      <c r="C89" s="77"/>
      <c r="D89" s="77">
        <v>5000000</v>
      </c>
      <c r="E89" s="117">
        <v>13000000</v>
      </c>
      <c r="F89" s="118">
        <v>6500</v>
      </c>
      <c r="G89" s="119">
        <v>15000000</v>
      </c>
      <c r="H89" s="118">
        <v>7500</v>
      </c>
      <c r="I89" s="77"/>
      <c r="J89" s="136"/>
      <c r="K89" s="77"/>
      <c r="L89" s="136"/>
      <c r="M89" s="77"/>
      <c r="N89" s="136"/>
      <c r="O89" s="145"/>
      <c r="P89" s="96"/>
      <c r="Q89" s="161"/>
      <c r="R89" s="159"/>
      <c r="S89" s="159"/>
      <c r="T89" s="88"/>
      <c r="U89" s="176"/>
      <c r="V89" s="88"/>
      <c r="W89" s="88"/>
      <c r="X89" s="177"/>
      <c r="Y89" s="177"/>
      <c r="Z89" s="177"/>
      <c r="AA89" s="177"/>
    </row>
    <row r="90" ht="14.25" customHeight="1" spans="1:27">
      <c r="A90" s="194" t="s">
        <v>179</v>
      </c>
      <c r="B90" s="77"/>
      <c r="C90" s="77"/>
      <c r="D90" s="77"/>
      <c r="E90" s="117"/>
      <c r="F90" s="118"/>
      <c r="G90" s="119"/>
      <c r="H90" s="118"/>
      <c r="I90" s="77"/>
      <c r="J90" s="136"/>
      <c r="K90" s="77"/>
      <c r="L90" s="136"/>
      <c r="M90" s="77"/>
      <c r="N90" s="136"/>
      <c r="O90" s="145"/>
      <c r="P90" s="96"/>
      <c r="Q90" s="161"/>
      <c r="R90" s="159"/>
      <c r="S90" s="159"/>
      <c r="T90" s="88"/>
      <c r="U90" s="176"/>
      <c r="V90" s="88"/>
      <c r="W90" s="88"/>
      <c r="X90" s="177"/>
      <c r="Y90" s="177"/>
      <c r="Z90" s="177"/>
      <c r="AA90" s="177"/>
    </row>
    <row r="91" ht="14.25" customHeight="1" spans="1:27">
      <c r="A91" s="194" t="s">
        <v>180</v>
      </c>
      <c r="B91" s="77"/>
      <c r="C91" s="77"/>
      <c r="D91" s="77">
        <v>4000000</v>
      </c>
      <c r="E91" s="117">
        <v>11000000</v>
      </c>
      <c r="F91" s="118"/>
      <c r="G91" s="119">
        <v>14500000</v>
      </c>
      <c r="H91" s="118"/>
      <c r="I91" s="77"/>
      <c r="J91" s="136"/>
      <c r="K91" s="77"/>
      <c r="L91" s="136"/>
      <c r="M91" s="77"/>
      <c r="N91" s="136"/>
      <c r="O91" s="145"/>
      <c r="P91" s="96"/>
      <c r="Q91" s="161"/>
      <c r="R91" s="159"/>
      <c r="S91" s="159"/>
      <c r="T91" s="88"/>
      <c r="U91" s="176"/>
      <c r="V91" s="88"/>
      <c r="W91" s="88"/>
      <c r="X91" s="177"/>
      <c r="Y91" s="177"/>
      <c r="Z91" s="177"/>
      <c r="AA91" s="177"/>
    </row>
    <row r="92" ht="14.25" customHeight="1" spans="1:27">
      <c r="A92" s="194" t="s">
        <v>181</v>
      </c>
      <c r="B92" s="77"/>
      <c r="C92" s="77"/>
      <c r="D92" s="77"/>
      <c r="E92" s="117"/>
      <c r="F92" s="118"/>
      <c r="G92" s="119"/>
      <c r="H92" s="118"/>
      <c r="I92" s="77"/>
      <c r="J92" s="136"/>
      <c r="K92" s="77"/>
      <c r="L92" s="136"/>
      <c r="M92" s="77"/>
      <c r="N92" s="136"/>
      <c r="O92" s="145"/>
      <c r="P92" s="96"/>
      <c r="Q92" s="161"/>
      <c r="R92" s="159"/>
      <c r="S92" s="159"/>
      <c r="T92" s="88"/>
      <c r="U92" s="176"/>
      <c r="V92" s="88"/>
      <c r="W92" s="88"/>
      <c r="X92" s="177"/>
      <c r="Y92" s="177"/>
      <c r="Z92" s="177"/>
      <c r="AA92" s="177"/>
    </row>
    <row r="93" ht="14.25" customHeight="1" spans="1:27">
      <c r="A93" s="194" t="s">
        <v>182</v>
      </c>
      <c r="B93" s="77" t="s">
        <v>183</v>
      </c>
      <c r="C93" s="77" t="s">
        <v>184</v>
      </c>
      <c r="D93" s="77">
        <v>6500000</v>
      </c>
      <c r="E93" s="117">
        <v>12000000</v>
      </c>
      <c r="F93" s="118">
        <f t="shared" ref="F93:F98" si="111">E93/2000</f>
        <v>6000</v>
      </c>
      <c r="G93" s="119">
        <v>15000000</v>
      </c>
      <c r="H93" s="118">
        <f>G93/2000</f>
        <v>7500</v>
      </c>
      <c r="I93" s="77">
        <f t="shared" ref="I93:I98" si="112">G93-E93</f>
        <v>3000000</v>
      </c>
      <c r="J93" s="136">
        <f t="shared" ref="J93:J98" si="113">I93/E93</f>
        <v>0.25</v>
      </c>
      <c r="K93" s="77">
        <f t="shared" ref="K93:K98" si="114">E93-D93</f>
        <v>5500000</v>
      </c>
      <c r="L93" s="136">
        <f t="shared" ref="L93:L98" si="115">K93/D93</f>
        <v>0.846153846153846</v>
      </c>
      <c r="M93" s="77">
        <f t="shared" ref="M93:M98" si="116">G93-D93</f>
        <v>8500000</v>
      </c>
      <c r="N93" s="136">
        <f t="shared" ref="N93:N98" si="117">M93/D93</f>
        <v>1.30769230769231</v>
      </c>
      <c r="O93" s="145" t="s">
        <v>185</v>
      </c>
      <c r="P93" s="96" t="s">
        <v>54</v>
      </c>
      <c r="Q93" s="161" t="s">
        <v>186</v>
      </c>
      <c r="R93" s="159"/>
      <c r="S93" s="159"/>
      <c r="T93" s="77">
        <f t="shared" ref="T93:T98" si="118">D93*S93</f>
        <v>0</v>
      </c>
      <c r="U93" s="176">
        <f t="shared" ref="U93:U98" si="119">T93/2200</f>
        <v>0</v>
      </c>
      <c r="V93" s="88"/>
      <c r="W93" s="88"/>
      <c r="X93" s="177"/>
      <c r="Y93" s="177"/>
      <c r="Z93" s="177"/>
      <c r="AA93" s="177"/>
    </row>
    <row r="94" ht="13.5" customHeight="1" spans="1:27">
      <c r="A94" s="194" t="s">
        <v>187</v>
      </c>
      <c r="B94" s="77" t="s">
        <v>183</v>
      </c>
      <c r="C94" s="77" t="s">
        <v>188</v>
      </c>
      <c r="D94" s="77">
        <v>3900000</v>
      </c>
      <c r="E94" s="117">
        <v>9000000</v>
      </c>
      <c r="F94" s="118">
        <f t="shared" si="111"/>
        <v>4500</v>
      </c>
      <c r="G94" s="119">
        <v>12500000</v>
      </c>
      <c r="H94" s="118">
        <v>6250</v>
      </c>
      <c r="I94" s="77">
        <f t="shared" si="112"/>
        <v>3500000</v>
      </c>
      <c r="J94" s="136">
        <f t="shared" si="113"/>
        <v>0.388888888888889</v>
      </c>
      <c r="K94" s="77">
        <f t="shared" si="114"/>
        <v>5100000</v>
      </c>
      <c r="L94" s="136">
        <f t="shared" si="115"/>
        <v>1.30769230769231</v>
      </c>
      <c r="M94" s="77">
        <f t="shared" si="116"/>
        <v>8600000</v>
      </c>
      <c r="N94" s="136">
        <f t="shared" si="117"/>
        <v>2.20512820512821</v>
      </c>
      <c r="O94" s="96" t="s">
        <v>189</v>
      </c>
      <c r="P94" s="96" t="s">
        <v>54</v>
      </c>
      <c r="Q94" s="161" t="s">
        <v>186</v>
      </c>
      <c r="R94" s="159"/>
      <c r="S94" s="159"/>
      <c r="T94" s="77">
        <f t="shared" si="118"/>
        <v>0</v>
      </c>
      <c r="U94" s="176">
        <f t="shared" si="119"/>
        <v>0</v>
      </c>
      <c r="V94" s="88"/>
      <c r="W94" s="88"/>
      <c r="X94" s="177"/>
      <c r="Y94" s="177"/>
      <c r="Z94" s="177"/>
      <c r="AA94" s="177"/>
    </row>
    <row r="95" ht="14.25" customHeight="1" spans="1:27">
      <c r="A95" s="194" t="s">
        <v>190</v>
      </c>
      <c r="B95" s="77" t="s">
        <v>183</v>
      </c>
      <c r="C95" s="77" t="s">
        <v>184</v>
      </c>
      <c r="D95" s="77">
        <v>9500000</v>
      </c>
      <c r="E95" s="117">
        <v>14000000</v>
      </c>
      <c r="F95" s="118">
        <f t="shared" si="111"/>
        <v>7000</v>
      </c>
      <c r="G95" s="119">
        <v>16000000</v>
      </c>
      <c r="H95" s="118">
        <f t="shared" ref="H95:H98" si="120">G95/2000</f>
        <v>8000</v>
      </c>
      <c r="I95" s="77">
        <f t="shared" si="112"/>
        <v>2000000</v>
      </c>
      <c r="J95" s="136">
        <f t="shared" si="113"/>
        <v>0.142857142857143</v>
      </c>
      <c r="K95" s="77">
        <f t="shared" si="114"/>
        <v>4500000</v>
      </c>
      <c r="L95" s="136">
        <f t="shared" si="115"/>
        <v>0.473684210526316</v>
      </c>
      <c r="M95" s="77">
        <f t="shared" si="116"/>
        <v>6500000</v>
      </c>
      <c r="N95" s="136">
        <f t="shared" si="117"/>
        <v>0.684210526315789</v>
      </c>
      <c r="O95" s="145" t="s">
        <v>185</v>
      </c>
      <c r="P95" s="96" t="s">
        <v>54</v>
      </c>
      <c r="Q95" s="161" t="s">
        <v>186</v>
      </c>
      <c r="R95" s="159"/>
      <c r="S95" s="159"/>
      <c r="T95" s="77">
        <f t="shared" si="118"/>
        <v>0</v>
      </c>
      <c r="U95" s="176">
        <f t="shared" si="119"/>
        <v>0</v>
      </c>
      <c r="V95" s="88"/>
      <c r="W95" s="88"/>
      <c r="X95" s="177"/>
      <c r="Y95" s="177"/>
      <c r="Z95" s="177"/>
      <c r="AA95" s="177"/>
    </row>
    <row r="96" ht="13.5" customHeight="1" spans="1:27">
      <c r="A96" s="194" t="s">
        <v>191</v>
      </c>
      <c r="B96" s="77" t="s">
        <v>183</v>
      </c>
      <c r="C96" s="77" t="s">
        <v>188</v>
      </c>
      <c r="D96" s="77">
        <v>6900000</v>
      </c>
      <c r="E96" s="117">
        <v>13000000</v>
      </c>
      <c r="F96" s="118">
        <f t="shared" si="111"/>
        <v>6500</v>
      </c>
      <c r="G96" s="119">
        <v>15000000</v>
      </c>
      <c r="H96" s="118">
        <f t="shared" si="120"/>
        <v>7500</v>
      </c>
      <c r="I96" s="77">
        <f t="shared" si="112"/>
        <v>2000000</v>
      </c>
      <c r="J96" s="136">
        <f t="shared" si="113"/>
        <v>0.153846153846154</v>
      </c>
      <c r="K96" s="77">
        <f t="shared" si="114"/>
        <v>6100000</v>
      </c>
      <c r="L96" s="136">
        <f t="shared" si="115"/>
        <v>0.884057971014493</v>
      </c>
      <c r="M96" s="77">
        <f t="shared" si="116"/>
        <v>8100000</v>
      </c>
      <c r="N96" s="136">
        <f t="shared" si="117"/>
        <v>1.17391304347826</v>
      </c>
      <c r="O96" s="96" t="s">
        <v>189</v>
      </c>
      <c r="P96" s="96" t="s">
        <v>54</v>
      </c>
      <c r="Q96" s="161" t="s">
        <v>186</v>
      </c>
      <c r="R96" s="159"/>
      <c r="S96" s="159"/>
      <c r="T96" s="77">
        <f t="shared" si="118"/>
        <v>0</v>
      </c>
      <c r="U96" s="176">
        <f t="shared" si="119"/>
        <v>0</v>
      </c>
      <c r="V96" s="88"/>
      <c r="W96" s="88"/>
      <c r="X96" s="177"/>
      <c r="Y96" s="177"/>
      <c r="Z96" s="177"/>
      <c r="AA96" s="177"/>
    </row>
    <row r="97" ht="12" customHeight="1" spans="1:27">
      <c r="A97" s="194" t="s">
        <v>192</v>
      </c>
      <c r="B97" s="77" t="s">
        <v>183</v>
      </c>
      <c r="C97" s="77" t="s">
        <v>193</v>
      </c>
      <c r="D97" s="77">
        <v>3300000</v>
      </c>
      <c r="E97" s="117">
        <v>5000000</v>
      </c>
      <c r="F97" s="118">
        <f t="shared" si="111"/>
        <v>2500</v>
      </c>
      <c r="G97" s="119">
        <v>6000000</v>
      </c>
      <c r="H97" s="118">
        <f t="shared" si="120"/>
        <v>3000</v>
      </c>
      <c r="I97" s="77">
        <f t="shared" si="112"/>
        <v>1000000</v>
      </c>
      <c r="J97" s="136">
        <f t="shared" si="113"/>
        <v>0.2</v>
      </c>
      <c r="K97" s="77">
        <f t="shared" si="114"/>
        <v>1700000</v>
      </c>
      <c r="L97" s="136">
        <f t="shared" si="115"/>
        <v>0.515151515151515</v>
      </c>
      <c r="M97" s="77">
        <f t="shared" si="116"/>
        <v>2700000</v>
      </c>
      <c r="N97" s="136">
        <f t="shared" si="117"/>
        <v>0.818181818181818</v>
      </c>
      <c r="O97" s="96" t="s">
        <v>194</v>
      </c>
      <c r="P97" s="96" t="s">
        <v>195</v>
      </c>
      <c r="Q97" s="161" t="s">
        <v>196</v>
      </c>
      <c r="R97" s="159"/>
      <c r="S97" s="159"/>
      <c r="T97" s="77">
        <f t="shared" si="118"/>
        <v>0</v>
      </c>
      <c r="U97" s="176">
        <f t="shared" si="119"/>
        <v>0</v>
      </c>
      <c r="V97" s="88"/>
      <c r="W97" s="88"/>
      <c r="X97" s="177"/>
      <c r="Y97" s="177"/>
      <c r="Z97" s="177"/>
      <c r="AA97" s="177"/>
    </row>
    <row r="98" ht="12" customHeight="1" spans="1:27">
      <c r="A98" s="194" t="s">
        <v>197</v>
      </c>
      <c r="B98" s="77" t="s">
        <v>183</v>
      </c>
      <c r="C98" s="77" t="s">
        <v>198</v>
      </c>
      <c r="D98" s="77">
        <v>4500000</v>
      </c>
      <c r="E98" s="117">
        <v>5500000</v>
      </c>
      <c r="F98" s="118">
        <f t="shared" si="111"/>
        <v>2750</v>
      </c>
      <c r="G98" s="119">
        <v>7000000</v>
      </c>
      <c r="H98" s="118">
        <f t="shared" si="120"/>
        <v>3500</v>
      </c>
      <c r="I98" s="77">
        <f t="shared" si="112"/>
        <v>1500000</v>
      </c>
      <c r="J98" s="136">
        <f t="shared" si="113"/>
        <v>0.272727272727273</v>
      </c>
      <c r="K98" s="77">
        <f t="shared" si="114"/>
        <v>1000000</v>
      </c>
      <c r="L98" s="136">
        <f t="shared" si="115"/>
        <v>0.222222222222222</v>
      </c>
      <c r="M98" s="77">
        <f t="shared" si="116"/>
        <v>2500000</v>
      </c>
      <c r="N98" s="136">
        <f t="shared" si="117"/>
        <v>0.555555555555556</v>
      </c>
      <c r="O98" s="96"/>
      <c r="P98" s="96"/>
      <c r="Q98" s="161"/>
      <c r="R98" s="159"/>
      <c r="S98" s="159"/>
      <c r="T98" s="77">
        <f t="shared" si="118"/>
        <v>0</v>
      </c>
      <c r="U98" s="176">
        <f t="shared" si="119"/>
        <v>0</v>
      </c>
      <c r="V98" s="88"/>
      <c r="W98" s="88"/>
      <c r="X98" s="177"/>
      <c r="Y98" s="177"/>
      <c r="Z98" s="177"/>
      <c r="AA98" s="177"/>
    </row>
    <row r="99" ht="12" customHeight="1" spans="1:27">
      <c r="A99" s="194" t="s">
        <v>199</v>
      </c>
      <c r="B99" s="77"/>
      <c r="C99" s="77"/>
      <c r="D99" s="77"/>
      <c r="E99" s="117"/>
      <c r="F99" s="118"/>
      <c r="G99" s="119"/>
      <c r="H99" s="118"/>
      <c r="I99" s="77"/>
      <c r="J99" s="136"/>
      <c r="K99" s="77"/>
      <c r="L99" s="136"/>
      <c r="M99" s="77"/>
      <c r="N99" s="136"/>
      <c r="O99" s="96"/>
      <c r="P99" s="96"/>
      <c r="Q99" s="161"/>
      <c r="R99" s="159"/>
      <c r="S99" s="159"/>
      <c r="T99" s="88"/>
      <c r="U99" s="176"/>
      <c r="V99" s="88"/>
      <c r="W99" s="88"/>
      <c r="X99" s="177"/>
      <c r="Y99" s="177"/>
      <c r="Z99" s="177"/>
      <c r="AA99" s="177"/>
    </row>
    <row r="100" ht="12" customHeight="1" spans="1:27">
      <c r="A100" s="194" t="s">
        <v>200</v>
      </c>
      <c r="B100" s="77"/>
      <c r="C100" s="77"/>
      <c r="D100" s="77"/>
      <c r="E100" s="117"/>
      <c r="F100" s="118"/>
      <c r="G100" s="119"/>
      <c r="H100" s="118"/>
      <c r="I100" s="77"/>
      <c r="J100" s="136"/>
      <c r="K100" s="77"/>
      <c r="L100" s="136"/>
      <c r="M100" s="77"/>
      <c r="N100" s="136"/>
      <c r="O100" s="96"/>
      <c r="P100" s="96"/>
      <c r="Q100" s="161"/>
      <c r="R100" s="159"/>
      <c r="S100" s="159"/>
      <c r="T100" s="88"/>
      <c r="U100" s="176"/>
      <c r="V100" s="88"/>
      <c r="W100" s="88"/>
      <c r="X100" s="177"/>
      <c r="Y100" s="177"/>
      <c r="Z100" s="177"/>
      <c r="AA100" s="177"/>
    </row>
    <row r="101" ht="12" customHeight="1" spans="1:27">
      <c r="A101" s="194" t="s">
        <v>201</v>
      </c>
      <c r="B101" s="77"/>
      <c r="C101" s="77"/>
      <c r="D101" s="77"/>
      <c r="E101" s="117"/>
      <c r="F101" s="118"/>
      <c r="G101" s="119"/>
      <c r="H101" s="118"/>
      <c r="I101" s="77"/>
      <c r="J101" s="136"/>
      <c r="K101" s="77"/>
      <c r="L101" s="136"/>
      <c r="M101" s="77"/>
      <c r="N101" s="136"/>
      <c r="O101" s="96"/>
      <c r="P101" s="96"/>
      <c r="Q101" s="161"/>
      <c r="R101" s="159"/>
      <c r="S101" s="159"/>
      <c r="T101" s="88"/>
      <c r="U101" s="176"/>
      <c r="V101" s="88"/>
      <c r="W101" s="88"/>
      <c r="X101" s="177"/>
      <c r="Y101" s="177"/>
      <c r="Z101" s="177"/>
      <c r="AA101" s="177"/>
    </row>
    <row r="102" ht="12" customHeight="1" spans="1:27">
      <c r="A102" s="195" t="s">
        <v>202</v>
      </c>
      <c r="B102" s="77" t="s">
        <v>183</v>
      </c>
      <c r="C102" s="77" t="s">
        <v>203</v>
      </c>
      <c r="D102" s="77">
        <v>1500000</v>
      </c>
      <c r="E102" s="117">
        <v>3500000</v>
      </c>
      <c r="F102" s="118">
        <f>E102/2000</f>
        <v>1750</v>
      </c>
      <c r="G102" s="119">
        <v>4000000</v>
      </c>
      <c r="H102" s="118">
        <f>G102/2000</f>
        <v>2000</v>
      </c>
      <c r="I102" s="77">
        <f>G102-E102</f>
        <v>500000</v>
      </c>
      <c r="J102" s="136">
        <f>I102/E102</f>
        <v>0.142857142857143</v>
      </c>
      <c r="K102" s="77">
        <f>E102-D102</f>
        <v>2000000</v>
      </c>
      <c r="L102" s="136">
        <f>K102/D102</f>
        <v>1.33333333333333</v>
      </c>
      <c r="M102" s="77">
        <f>G102-D102</f>
        <v>2500000</v>
      </c>
      <c r="N102" s="136">
        <f>M102/D102</f>
        <v>1.66666666666667</v>
      </c>
      <c r="O102" s="88"/>
      <c r="P102" s="96" t="s">
        <v>195</v>
      </c>
      <c r="Q102" s="88" t="s">
        <v>204</v>
      </c>
      <c r="R102" s="159"/>
      <c r="S102" s="159"/>
      <c r="T102" s="77">
        <f>D102*S102</f>
        <v>0</v>
      </c>
      <c r="U102" s="176">
        <f>T102/2200</f>
        <v>0</v>
      </c>
      <c r="V102" s="88"/>
      <c r="W102" s="88"/>
      <c r="X102" s="177"/>
      <c r="Y102" s="177"/>
      <c r="Z102" s="177"/>
      <c r="AA102" s="177"/>
    </row>
    <row r="103" ht="12" customHeight="1" spans="1:27">
      <c r="A103" s="195" t="s">
        <v>205</v>
      </c>
      <c r="B103" s="77"/>
      <c r="C103" s="77"/>
      <c r="D103" s="77">
        <v>30000000</v>
      </c>
      <c r="E103" s="117"/>
      <c r="F103" s="118"/>
      <c r="G103" s="119"/>
      <c r="H103" s="118"/>
      <c r="I103" s="77"/>
      <c r="J103" s="136"/>
      <c r="K103" s="77"/>
      <c r="L103" s="136"/>
      <c r="M103" s="77"/>
      <c r="N103" s="136"/>
      <c r="O103" s="88"/>
      <c r="P103" s="96"/>
      <c r="Q103" s="88"/>
      <c r="R103" s="159"/>
      <c r="S103" s="159"/>
      <c r="T103" s="88"/>
      <c r="U103" s="176"/>
      <c r="V103" s="88"/>
      <c r="W103" s="88"/>
      <c r="X103" s="177"/>
      <c r="Y103" s="177"/>
      <c r="Z103" s="177"/>
      <c r="AA103" s="177"/>
    </row>
    <row r="104" ht="12" customHeight="1" spans="1:27">
      <c r="A104" s="196" t="s">
        <v>206</v>
      </c>
      <c r="B104" s="77" t="s">
        <v>183</v>
      </c>
      <c r="C104" s="77" t="s">
        <v>207</v>
      </c>
      <c r="D104" s="77">
        <v>6000000</v>
      </c>
      <c r="E104" s="117">
        <v>10000000</v>
      </c>
      <c r="F104" s="118">
        <f>E104/2000</f>
        <v>5000</v>
      </c>
      <c r="G104" s="119">
        <v>12500000</v>
      </c>
      <c r="H104" s="118">
        <f>G104/2000</f>
        <v>6250</v>
      </c>
      <c r="I104" s="77">
        <f>G104-E104</f>
        <v>2500000</v>
      </c>
      <c r="J104" s="136">
        <f>I104/E104</f>
        <v>0.25</v>
      </c>
      <c r="K104" s="77">
        <f>E104-D104</f>
        <v>4000000</v>
      </c>
      <c r="L104" s="136">
        <f>K104/D104</f>
        <v>0.666666666666667</v>
      </c>
      <c r="M104" s="77">
        <f>G104-D104</f>
        <v>6500000</v>
      </c>
      <c r="N104" s="136">
        <f>M104/D104</f>
        <v>1.08333333333333</v>
      </c>
      <c r="O104" s="88" t="s">
        <v>208</v>
      </c>
      <c r="P104" s="96" t="s">
        <v>54</v>
      </c>
      <c r="Q104" s="88"/>
      <c r="R104" s="159"/>
      <c r="S104" s="159"/>
      <c r="T104" s="77">
        <f t="shared" ref="T104:T116" si="121">D104*S104</f>
        <v>0</v>
      </c>
      <c r="U104" s="176">
        <f t="shared" ref="U104:U116" si="122">T104/2200</f>
        <v>0</v>
      </c>
      <c r="V104" s="88"/>
      <c r="W104" s="88"/>
      <c r="X104" s="177"/>
      <c r="Y104" s="177"/>
      <c r="Z104" s="177"/>
      <c r="AA104" s="177"/>
    </row>
    <row r="105" ht="15.2" spans="1:27">
      <c r="A105" s="196" t="s">
        <v>209</v>
      </c>
      <c r="B105" s="77"/>
      <c r="C105" s="77"/>
      <c r="D105" s="77"/>
      <c r="E105" s="117"/>
      <c r="F105" s="118"/>
      <c r="G105" s="119"/>
      <c r="H105" s="118"/>
      <c r="I105" s="77"/>
      <c r="J105" s="136"/>
      <c r="K105" s="77"/>
      <c r="L105" s="136"/>
      <c r="M105" s="77"/>
      <c r="N105" s="136"/>
      <c r="O105" s="88"/>
      <c r="P105" s="75"/>
      <c r="Q105" s="88"/>
      <c r="R105" s="159"/>
      <c r="S105" s="159"/>
      <c r="T105" s="77">
        <f t="shared" si="121"/>
        <v>0</v>
      </c>
      <c r="U105" s="176">
        <f t="shared" si="122"/>
        <v>0</v>
      </c>
      <c r="V105" s="88"/>
      <c r="W105" s="88"/>
      <c r="X105" s="177"/>
      <c r="Y105" s="177"/>
      <c r="Z105" s="177"/>
      <c r="AA105" s="177"/>
    </row>
    <row r="106" ht="12" customHeight="1" spans="1:27">
      <c r="A106" s="196" t="s">
        <v>210</v>
      </c>
      <c r="B106" s="77"/>
      <c r="C106" s="77"/>
      <c r="D106" s="77"/>
      <c r="E106" s="117"/>
      <c r="F106" s="118"/>
      <c r="G106" s="119"/>
      <c r="H106" s="118"/>
      <c r="I106" s="77"/>
      <c r="J106" s="136"/>
      <c r="K106" s="77"/>
      <c r="L106" s="136"/>
      <c r="M106" s="77"/>
      <c r="N106" s="136"/>
      <c r="O106" s="88"/>
      <c r="P106" s="75"/>
      <c r="Q106" s="88"/>
      <c r="R106" s="159"/>
      <c r="S106" s="159"/>
      <c r="T106" s="77">
        <f t="shared" si="121"/>
        <v>0</v>
      </c>
      <c r="U106" s="176">
        <f t="shared" si="122"/>
        <v>0</v>
      </c>
      <c r="V106" s="88"/>
      <c r="W106" s="88"/>
      <c r="X106" s="177"/>
      <c r="Y106" s="177"/>
      <c r="Z106" s="177"/>
      <c r="AA106" s="177"/>
    </row>
    <row r="107" ht="15.2" spans="1:27">
      <c r="A107" s="196" t="s">
        <v>211</v>
      </c>
      <c r="B107" s="77"/>
      <c r="C107" s="77"/>
      <c r="D107" s="77"/>
      <c r="E107" s="117"/>
      <c r="F107" s="118"/>
      <c r="G107" s="119"/>
      <c r="H107" s="118"/>
      <c r="I107" s="77"/>
      <c r="J107" s="136"/>
      <c r="K107" s="77"/>
      <c r="L107" s="136"/>
      <c r="M107" s="77"/>
      <c r="N107" s="136"/>
      <c r="O107" s="88"/>
      <c r="P107" s="75"/>
      <c r="Q107" s="88"/>
      <c r="R107" s="159"/>
      <c r="S107" s="159"/>
      <c r="T107" s="77">
        <f t="shared" si="121"/>
        <v>0</v>
      </c>
      <c r="U107" s="176">
        <f t="shared" si="122"/>
        <v>0</v>
      </c>
      <c r="V107" s="88"/>
      <c r="W107" s="88"/>
      <c r="X107" s="177"/>
      <c r="Y107" s="177"/>
      <c r="Z107" s="177"/>
      <c r="AA107" s="177"/>
    </row>
    <row r="108" ht="15.2" spans="1:27">
      <c r="A108" s="196" t="s">
        <v>212</v>
      </c>
      <c r="B108" s="77"/>
      <c r="C108" s="77"/>
      <c r="D108" s="77"/>
      <c r="E108" s="117"/>
      <c r="F108" s="118"/>
      <c r="G108" s="119"/>
      <c r="H108" s="118"/>
      <c r="I108" s="77"/>
      <c r="J108" s="136"/>
      <c r="K108" s="77"/>
      <c r="L108" s="136"/>
      <c r="M108" s="77"/>
      <c r="N108" s="136"/>
      <c r="O108" s="88"/>
      <c r="P108" s="75"/>
      <c r="Q108" s="88"/>
      <c r="R108" s="159"/>
      <c r="S108" s="159"/>
      <c r="T108" s="77">
        <f t="shared" si="121"/>
        <v>0</v>
      </c>
      <c r="U108" s="176">
        <f t="shared" si="122"/>
        <v>0</v>
      </c>
      <c r="V108" s="88"/>
      <c r="W108" s="88"/>
      <c r="X108" s="177"/>
      <c r="Y108" s="177"/>
      <c r="Z108" s="177"/>
      <c r="AA108" s="177"/>
    </row>
    <row r="109" ht="15.2" spans="1:27">
      <c r="A109" s="196" t="s">
        <v>213</v>
      </c>
      <c r="B109" s="77" t="s">
        <v>183</v>
      </c>
      <c r="C109" s="77" t="s">
        <v>214</v>
      </c>
      <c r="D109" s="77">
        <v>4500000</v>
      </c>
      <c r="E109" s="117">
        <v>10000000</v>
      </c>
      <c r="F109" s="118">
        <f>E109/2000</f>
        <v>5000</v>
      </c>
      <c r="G109" s="119">
        <v>11000000</v>
      </c>
      <c r="H109" s="118">
        <f>G109/2000</f>
        <v>5500</v>
      </c>
      <c r="I109" s="77">
        <f>G109-E109</f>
        <v>1000000</v>
      </c>
      <c r="J109" s="136">
        <f>I109/E109</f>
        <v>0.1</v>
      </c>
      <c r="K109" s="77">
        <f>E109-D109</f>
        <v>5500000</v>
      </c>
      <c r="L109" s="136">
        <f>K109/D109</f>
        <v>1.22222222222222</v>
      </c>
      <c r="M109" s="77">
        <f>G109-D109</f>
        <v>6500000</v>
      </c>
      <c r="N109" s="136">
        <f>M109/D109</f>
        <v>1.44444444444444</v>
      </c>
      <c r="O109" s="88" t="s">
        <v>208</v>
      </c>
      <c r="P109" s="96" t="s">
        <v>54</v>
      </c>
      <c r="Q109" s="88"/>
      <c r="R109" s="159"/>
      <c r="S109" s="159"/>
      <c r="T109" s="77">
        <f t="shared" si="121"/>
        <v>0</v>
      </c>
      <c r="U109" s="176">
        <f t="shared" si="122"/>
        <v>0</v>
      </c>
      <c r="V109" s="88"/>
      <c r="W109" s="88"/>
      <c r="X109" s="177"/>
      <c r="Y109" s="177"/>
      <c r="Z109" s="177"/>
      <c r="AA109" s="177"/>
    </row>
    <row r="110" ht="15.2" spans="1:27">
      <c r="A110" s="196" t="s">
        <v>209</v>
      </c>
      <c r="B110" s="77"/>
      <c r="C110" s="77"/>
      <c r="D110" s="77"/>
      <c r="E110" s="117"/>
      <c r="F110" s="118"/>
      <c r="G110" s="119"/>
      <c r="H110" s="118"/>
      <c r="I110" s="77"/>
      <c r="J110" s="136"/>
      <c r="K110" s="77"/>
      <c r="L110" s="136"/>
      <c r="M110" s="77"/>
      <c r="N110" s="136"/>
      <c r="O110" s="88"/>
      <c r="P110" s="75"/>
      <c r="Q110" s="88"/>
      <c r="R110" s="159"/>
      <c r="S110" s="159"/>
      <c r="T110" s="77">
        <f t="shared" si="121"/>
        <v>0</v>
      </c>
      <c r="U110" s="176">
        <f t="shared" si="122"/>
        <v>0</v>
      </c>
      <c r="V110" s="88"/>
      <c r="W110" s="88"/>
      <c r="X110" s="177"/>
      <c r="Y110" s="177"/>
      <c r="Z110" s="177"/>
      <c r="AA110" s="177"/>
    </row>
    <row r="111" ht="15.2" spans="1:27">
      <c r="A111" s="196" t="s">
        <v>210</v>
      </c>
      <c r="B111" s="77"/>
      <c r="C111" s="77"/>
      <c r="D111" s="77"/>
      <c r="E111" s="117"/>
      <c r="F111" s="118"/>
      <c r="G111" s="119"/>
      <c r="H111" s="118"/>
      <c r="I111" s="77"/>
      <c r="J111" s="136"/>
      <c r="K111" s="77"/>
      <c r="L111" s="136"/>
      <c r="M111" s="77"/>
      <c r="N111" s="136"/>
      <c r="O111" s="88"/>
      <c r="P111" s="75"/>
      <c r="Q111" s="88"/>
      <c r="R111" s="159"/>
      <c r="S111" s="159"/>
      <c r="T111" s="77">
        <f t="shared" si="121"/>
        <v>0</v>
      </c>
      <c r="U111" s="176">
        <f t="shared" si="122"/>
        <v>0</v>
      </c>
      <c r="V111" s="88"/>
      <c r="W111" s="88"/>
      <c r="X111" s="177"/>
      <c r="Y111" s="177"/>
      <c r="Z111" s="177"/>
      <c r="AA111" s="177"/>
    </row>
    <row r="112" ht="15.2" spans="1:27">
      <c r="A112" s="196" t="s">
        <v>211</v>
      </c>
      <c r="B112" s="77"/>
      <c r="C112" s="77"/>
      <c r="D112" s="77"/>
      <c r="E112" s="117"/>
      <c r="F112" s="118"/>
      <c r="G112" s="119"/>
      <c r="H112" s="118"/>
      <c r="I112" s="77"/>
      <c r="J112" s="136"/>
      <c r="K112" s="77"/>
      <c r="L112" s="136"/>
      <c r="M112" s="77"/>
      <c r="N112" s="136"/>
      <c r="O112" s="88"/>
      <c r="P112" s="75"/>
      <c r="Q112" s="88"/>
      <c r="R112" s="159"/>
      <c r="S112" s="159"/>
      <c r="T112" s="77">
        <f t="shared" si="121"/>
        <v>0</v>
      </c>
      <c r="U112" s="176">
        <f t="shared" si="122"/>
        <v>0</v>
      </c>
      <c r="V112" s="88"/>
      <c r="W112" s="88"/>
      <c r="X112" s="177"/>
      <c r="Y112" s="177"/>
      <c r="Z112" s="177"/>
      <c r="AA112" s="177"/>
    </row>
    <row r="113" ht="15.2" spans="1:27">
      <c r="A113" s="196" t="s">
        <v>212</v>
      </c>
      <c r="B113" s="77"/>
      <c r="C113" s="77"/>
      <c r="D113" s="77"/>
      <c r="E113" s="117"/>
      <c r="F113" s="118"/>
      <c r="G113" s="119"/>
      <c r="H113" s="118"/>
      <c r="I113" s="77"/>
      <c r="J113" s="136"/>
      <c r="K113" s="77"/>
      <c r="L113" s="136"/>
      <c r="M113" s="77"/>
      <c r="N113" s="136"/>
      <c r="O113" s="88"/>
      <c r="P113" s="75"/>
      <c r="Q113" s="88"/>
      <c r="R113" s="159"/>
      <c r="S113" s="159"/>
      <c r="T113" s="77">
        <f t="shared" si="121"/>
        <v>0</v>
      </c>
      <c r="U113" s="176">
        <f t="shared" si="122"/>
        <v>0</v>
      </c>
      <c r="V113" s="88"/>
      <c r="W113" s="88"/>
      <c r="X113" s="177"/>
      <c r="Y113" s="177"/>
      <c r="Z113" s="177"/>
      <c r="AA113" s="177"/>
    </row>
    <row r="114" ht="12" customHeight="1" spans="1:27">
      <c r="A114" s="88" t="s">
        <v>215</v>
      </c>
      <c r="B114" s="77" t="s">
        <v>183</v>
      </c>
      <c r="C114" s="77" t="s">
        <v>216</v>
      </c>
      <c r="D114" s="77">
        <v>500000</v>
      </c>
      <c r="E114" s="117">
        <v>1500000</v>
      </c>
      <c r="F114" s="118">
        <f t="shared" ref="F114:F116" si="123">E114/2000</f>
        <v>750</v>
      </c>
      <c r="G114" s="119">
        <v>2500000</v>
      </c>
      <c r="H114" s="118">
        <f t="shared" ref="H114:H116" si="124">G114/2000</f>
        <v>1250</v>
      </c>
      <c r="I114" s="77">
        <f t="shared" ref="I114:I116" si="125">G114-E114</f>
        <v>1000000</v>
      </c>
      <c r="J114" s="136">
        <f t="shared" ref="J114:J116" si="126">I114/E114</f>
        <v>0.666666666666667</v>
      </c>
      <c r="K114" s="77">
        <f t="shared" ref="K114:K116" si="127">E114-D114</f>
        <v>1000000</v>
      </c>
      <c r="L114" s="136">
        <f t="shared" ref="L114:L116" si="128">K114/D114</f>
        <v>2</v>
      </c>
      <c r="M114" s="77">
        <f t="shared" ref="M114:M116" si="129">G114-D114</f>
        <v>2000000</v>
      </c>
      <c r="N114" s="136">
        <f t="shared" ref="N114:N116" si="130">M114/D114</f>
        <v>4</v>
      </c>
      <c r="O114" s="88" t="s">
        <v>217</v>
      </c>
      <c r="P114" s="75" t="s">
        <v>218</v>
      </c>
      <c r="Q114" s="88"/>
      <c r="R114" s="159"/>
      <c r="S114" s="159"/>
      <c r="T114" s="77">
        <f t="shared" si="121"/>
        <v>0</v>
      </c>
      <c r="U114" s="176">
        <f t="shared" si="122"/>
        <v>0</v>
      </c>
      <c r="V114" s="88"/>
      <c r="W114" s="88"/>
      <c r="X114" s="177"/>
      <c r="Y114" s="177"/>
      <c r="Z114" s="177"/>
      <c r="AA114" s="177"/>
    </row>
    <row r="115" ht="12" customHeight="1" spans="1:27">
      <c r="A115" s="88" t="s">
        <v>219</v>
      </c>
      <c r="B115" s="77" t="s">
        <v>183</v>
      </c>
      <c r="C115" s="77" t="s">
        <v>220</v>
      </c>
      <c r="D115" s="77">
        <v>1000000</v>
      </c>
      <c r="E115" s="117">
        <v>3000000</v>
      </c>
      <c r="F115" s="118">
        <f t="shared" si="123"/>
        <v>1500</v>
      </c>
      <c r="G115" s="119">
        <v>4000000</v>
      </c>
      <c r="H115" s="118">
        <f t="shared" si="124"/>
        <v>2000</v>
      </c>
      <c r="I115" s="77">
        <f t="shared" si="125"/>
        <v>1000000</v>
      </c>
      <c r="J115" s="136">
        <f t="shared" si="126"/>
        <v>0.333333333333333</v>
      </c>
      <c r="K115" s="77">
        <f t="shared" si="127"/>
        <v>2000000</v>
      </c>
      <c r="L115" s="136">
        <f t="shared" si="128"/>
        <v>2</v>
      </c>
      <c r="M115" s="77">
        <f t="shared" si="129"/>
        <v>3000000</v>
      </c>
      <c r="N115" s="136">
        <f t="shared" si="130"/>
        <v>3</v>
      </c>
      <c r="O115" s="88" t="s">
        <v>221</v>
      </c>
      <c r="P115" s="75" t="s">
        <v>222</v>
      </c>
      <c r="Q115" s="88" t="s">
        <v>223</v>
      </c>
      <c r="R115" s="159"/>
      <c r="S115" s="159"/>
      <c r="T115" s="77">
        <f t="shared" si="121"/>
        <v>0</v>
      </c>
      <c r="U115" s="176">
        <f t="shared" si="122"/>
        <v>0</v>
      </c>
      <c r="V115" s="88"/>
      <c r="W115" s="88"/>
      <c r="X115" s="177"/>
      <c r="Y115" s="177"/>
      <c r="Z115" s="177"/>
      <c r="AA115" s="177"/>
    </row>
    <row r="116" ht="12" customHeight="1" spans="1:27">
      <c r="A116" s="88" t="s">
        <v>224</v>
      </c>
      <c r="B116" s="77" t="s">
        <v>183</v>
      </c>
      <c r="C116" s="77" t="s">
        <v>225</v>
      </c>
      <c r="D116" s="77">
        <v>2000000</v>
      </c>
      <c r="E116" s="117">
        <v>7000000</v>
      </c>
      <c r="F116" s="118">
        <f t="shared" si="123"/>
        <v>3500</v>
      </c>
      <c r="G116" s="119">
        <v>10000000</v>
      </c>
      <c r="H116" s="118">
        <f t="shared" si="124"/>
        <v>5000</v>
      </c>
      <c r="I116" s="77">
        <f t="shared" si="125"/>
        <v>3000000</v>
      </c>
      <c r="J116" s="136">
        <f t="shared" si="126"/>
        <v>0.428571428571429</v>
      </c>
      <c r="K116" s="77">
        <f t="shared" si="127"/>
        <v>5000000</v>
      </c>
      <c r="L116" s="136">
        <f t="shared" si="128"/>
        <v>2.5</v>
      </c>
      <c r="M116" s="77">
        <f t="shared" si="129"/>
        <v>8000000</v>
      </c>
      <c r="N116" s="136">
        <f t="shared" si="130"/>
        <v>4</v>
      </c>
      <c r="O116" s="88" t="s">
        <v>226</v>
      </c>
      <c r="P116" s="75" t="s">
        <v>222</v>
      </c>
      <c r="Q116" s="88" t="s">
        <v>227</v>
      </c>
      <c r="R116" s="159"/>
      <c r="S116" s="159"/>
      <c r="T116" s="77">
        <f t="shared" si="121"/>
        <v>0</v>
      </c>
      <c r="U116" s="176">
        <f t="shared" si="122"/>
        <v>0</v>
      </c>
      <c r="V116" s="88"/>
      <c r="W116" s="88"/>
      <c r="X116" s="177"/>
      <c r="Y116" s="177"/>
      <c r="Z116" s="177"/>
      <c r="AA116" s="177"/>
    </row>
    <row r="117" customHeight="1" spans="1:27">
      <c r="A117" s="88" t="s">
        <v>228</v>
      </c>
      <c r="B117" s="77"/>
      <c r="C117" s="77"/>
      <c r="D117" s="77"/>
      <c r="E117" s="117"/>
      <c r="F117" s="118"/>
      <c r="G117" s="119"/>
      <c r="H117" s="118"/>
      <c r="I117" s="77"/>
      <c r="J117" s="136"/>
      <c r="K117" s="77"/>
      <c r="L117" s="136"/>
      <c r="M117" s="77"/>
      <c r="N117" s="136"/>
      <c r="O117" s="88"/>
      <c r="P117" s="75"/>
      <c r="Q117" s="88"/>
      <c r="R117" s="159"/>
      <c r="S117" s="159"/>
      <c r="T117" s="88"/>
      <c r="U117" s="176"/>
      <c r="V117" s="88"/>
      <c r="W117" s="88"/>
      <c r="X117" s="177"/>
      <c r="Y117" s="177"/>
      <c r="Z117" s="177"/>
      <c r="AA117" s="177"/>
    </row>
    <row r="118" customHeight="1" spans="1:27">
      <c r="A118" s="88" t="s">
        <v>229</v>
      </c>
      <c r="B118" s="77"/>
      <c r="C118" s="77"/>
      <c r="D118" s="77"/>
      <c r="E118" s="117"/>
      <c r="F118" s="118"/>
      <c r="G118" s="119"/>
      <c r="H118" s="118"/>
      <c r="I118" s="77"/>
      <c r="J118" s="136"/>
      <c r="K118" s="77"/>
      <c r="L118" s="136"/>
      <c r="M118" s="77"/>
      <c r="N118" s="136"/>
      <c r="O118" s="88"/>
      <c r="P118" s="75"/>
      <c r="Q118" s="88"/>
      <c r="R118" s="159"/>
      <c r="S118" s="159"/>
      <c r="T118" s="88"/>
      <c r="U118" s="176"/>
      <c r="V118" s="88"/>
      <c r="W118" s="88"/>
      <c r="X118" s="177"/>
      <c r="Y118" s="177"/>
      <c r="Z118" s="177"/>
      <c r="AA118" s="177"/>
    </row>
    <row r="119" customHeight="1" spans="1:27">
      <c r="A119" s="88" t="s">
        <v>230</v>
      </c>
      <c r="B119" s="77" t="s">
        <v>183</v>
      </c>
      <c r="C119" s="77" t="s">
        <v>231</v>
      </c>
      <c r="D119" s="77">
        <v>6000000</v>
      </c>
      <c r="E119" s="117">
        <v>10000000</v>
      </c>
      <c r="F119" s="118">
        <v>3500</v>
      </c>
      <c r="G119" s="119">
        <v>12000000</v>
      </c>
      <c r="H119" s="118">
        <v>5000</v>
      </c>
      <c r="I119" s="77">
        <f>G119-E119</f>
        <v>2000000</v>
      </c>
      <c r="J119" s="136">
        <f>I119/E119</f>
        <v>0.2</v>
      </c>
      <c r="K119" s="77">
        <f>E119-D119</f>
        <v>4000000</v>
      </c>
      <c r="L119" s="136">
        <f>K119/D119</f>
        <v>0.666666666666667</v>
      </c>
      <c r="M119" s="77">
        <f>G119-D119</f>
        <v>6000000</v>
      </c>
      <c r="N119" s="136">
        <f>M119/D119</f>
        <v>1</v>
      </c>
      <c r="O119" s="88" t="s">
        <v>232</v>
      </c>
      <c r="P119" s="75"/>
      <c r="Q119" s="88"/>
      <c r="R119" s="159"/>
      <c r="S119" s="159"/>
      <c r="T119" s="88"/>
      <c r="U119" s="176"/>
      <c r="V119" s="88"/>
      <c r="W119" s="88"/>
      <c r="X119" s="177"/>
      <c r="Y119" s="177"/>
      <c r="Z119" s="177"/>
      <c r="AA119" s="177"/>
    </row>
    <row r="120" customHeight="1" spans="1:27">
      <c r="A120" s="88" t="s">
        <v>233</v>
      </c>
      <c r="B120" s="77"/>
      <c r="C120" s="77"/>
      <c r="D120" s="77"/>
      <c r="E120" s="117"/>
      <c r="F120" s="118">
        <v>1000</v>
      </c>
      <c r="G120" s="119"/>
      <c r="H120" s="118"/>
      <c r="I120" s="77"/>
      <c r="J120" s="136"/>
      <c r="K120" s="77"/>
      <c r="L120" s="136"/>
      <c r="M120" s="77"/>
      <c r="N120" s="136"/>
      <c r="O120" s="88"/>
      <c r="P120" s="75"/>
      <c r="Q120" s="88"/>
      <c r="R120" s="159"/>
      <c r="S120" s="159"/>
      <c r="T120" s="88"/>
      <c r="U120" s="176"/>
      <c r="V120" s="88"/>
      <c r="W120" s="88"/>
      <c r="X120" s="177"/>
      <c r="Y120" s="177"/>
      <c r="Z120" s="177"/>
      <c r="AA120" s="177"/>
    </row>
    <row r="121" customHeight="1" spans="1:27">
      <c r="A121" s="88" t="s">
        <v>234</v>
      </c>
      <c r="B121" s="77"/>
      <c r="C121" s="77"/>
      <c r="D121" s="77"/>
      <c r="E121" s="117"/>
      <c r="F121" s="118">
        <v>500</v>
      </c>
      <c r="G121" s="119"/>
      <c r="H121" s="118"/>
      <c r="I121" s="77"/>
      <c r="J121" s="136"/>
      <c r="K121" s="77"/>
      <c r="L121" s="136"/>
      <c r="M121" s="77"/>
      <c r="N121" s="136"/>
      <c r="O121" s="88"/>
      <c r="P121" s="75"/>
      <c r="Q121" s="88"/>
      <c r="R121" s="159"/>
      <c r="S121" s="159"/>
      <c r="T121" s="88"/>
      <c r="U121" s="176"/>
      <c r="V121" s="88"/>
      <c r="W121" s="88"/>
      <c r="X121" s="177"/>
      <c r="Y121" s="177"/>
      <c r="Z121" s="177"/>
      <c r="AA121" s="177"/>
    </row>
    <row r="122" customHeight="1" spans="1:27">
      <c r="A122" s="88" t="s">
        <v>235</v>
      </c>
      <c r="B122" s="77"/>
      <c r="C122" s="77"/>
      <c r="D122" s="77"/>
      <c r="E122" s="117"/>
      <c r="F122" s="118">
        <v>500</v>
      </c>
      <c r="G122" s="119"/>
      <c r="H122" s="118"/>
      <c r="I122" s="77"/>
      <c r="J122" s="136"/>
      <c r="K122" s="77"/>
      <c r="L122" s="136"/>
      <c r="M122" s="77"/>
      <c r="N122" s="136"/>
      <c r="O122" s="88"/>
      <c r="P122" s="75"/>
      <c r="Q122" s="88"/>
      <c r="R122" s="159"/>
      <c r="S122" s="159"/>
      <c r="T122" s="88"/>
      <c r="U122" s="176"/>
      <c r="V122" s="88"/>
      <c r="W122" s="88"/>
      <c r="X122" s="177"/>
      <c r="Y122" s="177"/>
      <c r="Z122" s="177"/>
      <c r="AA122" s="177"/>
    </row>
    <row r="123" customHeight="1" spans="1:27">
      <c r="A123" s="88" t="s">
        <v>236</v>
      </c>
      <c r="B123" s="77"/>
      <c r="C123" s="77"/>
      <c r="D123" s="77"/>
      <c r="E123" s="117"/>
      <c r="F123" s="118"/>
      <c r="G123" s="119"/>
      <c r="H123" s="118"/>
      <c r="I123" s="77"/>
      <c r="J123" s="136"/>
      <c r="K123" s="77"/>
      <c r="L123" s="136"/>
      <c r="M123" s="77"/>
      <c r="N123" s="136"/>
      <c r="O123" s="88"/>
      <c r="P123" s="75"/>
      <c r="Q123" s="88"/>
      <c r="R123" s="159"/>
      <c r="S123" s="159"/>
      <c r="T123" s="88"/>
      <c r="U123" s="176"/>
      <c r="V123" s="88"/>
      <c r="W123" s="88"/>
      <c r="X123" s="177"/>
      <c r="Y123" s="177"/>
      <c r="Z123" s="177"/>
      <c r="AA123" s="177"/>
    </row>
    <row r="124" ht="14.25" customHeight="1" spans="1:27">
      <c r="A124" s="88" t="s">
        <v>237</v>
      </c>
      <c r="B124" s="77" t="s">
        <v>238</v>
      </c>
      <c r="C124" s="77" t="s">
        <v>239</v>
      </c>
      <c r="D124" s="77">
        <v>200000</v>
      </c>
      <c r="E124" s="117">
        <v>1000000</v>
      </c>
      <c r="F124" s="118">
        <f>E124/2000</f>
        <v>500</v>
      </c>
      <c r="G124" s="119">
        <v>1000000</v>
      </c>
      <c r="H124" s="118">
        <f>G124/2000</f>
        <v>500</v>
      </c>
      <c r="I124" s="77">
        <f>G124-E124</f>
        <v>0</v>
      </c>
      <c r="J124" s="136">
        <f>I124/E124</f>
        <v>0</v>
      </c>
      <c r="K124" s="77">
        <f>E124-D124</f>
        <v>800000</v>
      </c>
      <c r="L124" s="136">
        <f>K124/D124</f>
        <v>4</v>
      </c>
      <c r="M124" s="77">
        <f>G124-D124</f>
        <v>800000</v>
      </c>
      <c r="N124" s="136">
        <f>M124/D124</f>
        <v>4</v>
      </c>
      <c r="O124" s="88" t="s">
        <v>240</v>
      </c>
      <c r="P124" s="75" t="s">
        <v>59</v>
      </c>
      <c r="Q124" s="88" t="s">
        <v>241</v>
      </c>
      <c r="R124" s="159"/>
      <c r="S124" s="159"/>
      <c r="T124" s="77">
        <f>D124*S124</f>
        <v>0</v>
      </c>
      <c r="U124" s="176">
        <f>T124/2200</f>
        <v>0</v>
      </c>
      <c r="V124" s="88"/>
      <c r="W124" s="88"/>
      <c r="X124" s="177"/>
      <c r="Y124" s="177"/>
      <c r="Z124" s="177"/>
      <c r="AA124" s="177"/>
    </row>
    <row r="125" ht="14.25" customHeight="1" spans="1:27">
      <c r="A125" s="88" t="s">
        <v>242</v>
      </c>
      <c r="B125" s="77"/>
      <c r="C125" s="77"/>
      <c r="D125" s="77"/>
      <c r="E125" s="117"/>
      <c r="F125" s="118"/>
      <c r="G125" s="119"/>
      <c r="H125" s="118"/>
      <c r="I125" s="77"/>
      <c r="J125" s="136"/>
      <c r="K125" s="77"/>
      <c r="L125" s="136"/>
      <c r="M125" s="77"/>
      <c r="N125" s="136"/>
      <c r="O125" s="88"/>
      <c r="P125" s="75"/>
      <c r="Q125" s="88"/>
      <c r="R125" s="159"/>
      <c r="S125" s="159"/>
      <c r="T125" s="88"/>
      <c r="U125" s="176"/>
      <c r="V125" s="88"/>
      <c r="W125" s="88"/>
      <c r="X125" s="177"/>
      <c r="Y125" s="177"/>
      <c r="Z125" s="177"/>
      <c r="AA125" s="177"/>
    </row>
    <row r="126" ht="15" customHeight="1" spans="1:27">
      <c r="A126" s="161" t="s">
        <v>243</v>
      </c>
      <c r="B126" s="77" t="s">
        <v>238</v>
      </c>
      <c r="C126" s="77" t="s">
        <v>244</v>
      </c>
      <c r="D126" s="77">
        <v>100000</v>
      </c>
      <c r="E126" s="117">
        <v>300000</v>
      </c>
      <c r="F126" s="118">
        <f t="shared" ref="F126:F127" si="131">E126/2000</f>
        <v>150</v>
      </c>
      <c r="G126" s="119">
        <v>500000</v>
      </c>
      <c r="H126" s="118">
        <f t="shared" ref="H126:H127" si="132">G126/2000</f>
        <v>250</v>
      </c>
      <c r="I126" s="77">
        <f t="shared" ref="I126:I127" si="133">G126-E126</f>
        <v>200000</v>
      </c>
      <c r="J126" s="136">
        <f t="shared" ref="J126:J127" si="134">I126/E126</f>
        <v>0.666666666666667</v>
      </c>
      <c r="K126" s="77">
        <f t="shared" ref="K126:K127" si="135">E126-D126</f>
        <v>200000</v>
      </c>
      <c r="L126" s="136">
        <f t="shared" ref="L126:L127" si="136">K126/D126</f>
        <v>2</v>
      </c>
      <c r="M126" s="77">
        <f t="shared" ref="M126:M127" si="137">G126-D126</f>
        <v>400000</v>
      </c>
      <c r="N126" s="136">
        <f t="shared" ref="N126:N127" si="138">M126/D126</f>
        <v>4</v>
      </c>
      <c r="O126" s="96"/>
      <c r="P126" s="75" t="s">
        <v>59</v>
      </c>
      <c r="Q126" s="96" t="s">
        <v>245</v>
      </c>
      <c r="R126" s="197"/>
      <c r="S126" s="197"/>
      <c r="T126" s="77">
        <f t="shared" ref="T126:T127" si="139">D126*S126</f>
        <v>0</v>
      </c>
      <c r="U126" s="176">
        <f t="shared" ref="U126:U127" si="140">T126/2200</f>
        <v>0</v>
      </c>
      <c r="V126" s="88"/>
      <c r="W126" s="88"/>
      <c r="X126" s="177"/>
      <c r="Y126" s="177"/>
      <c r="Z126" s="177"/>
      <c r="AA126" s="177"/>
    </row>
    <row r="127" ht="14.25" customHeight="1" spans="1:27">
      <c r="A127" s="88" t="s">
        <v>246</v>
      </c>
      <c r="B127" s="77" t="s">
        <v>238</v>
      </c>
      <c r="C127" s="77" t="s">
        <v>247</v>
      </c>
      <c r="D127" s="77">
        <v>200000</v>
      </c>
      <c r="E127" s="117">
        <v>500000</v>
      </c>
      <c r="F127" s="118">
        <f t="shared" si="131"/>
        <v>250</v>
      </c>
      <c r="G127" s="119">
        <v>1000000</v>
      </c>
      <c r="H127" s="118">
        <f t="shared" si="132"/>
        <v>500</v>
      </c>
      <c r="I127" s="77">
        <f t="shared" si="133"/>
        <v>500000</v>
      </c>
      <c r="J127" s="136">
        <f t="shared" si="134"/>
        <v>1</v>
      </c>
      <c r="K127" s="77">
        <f t="shared" si="135"/>
        <v>300000</v>
      </c>
      <c r="L127" s="136">
        <f t="shared" si="136"/>
        <v>1.5</v>
      </c>
      <c r="M127" s="77">
        <f t="shared" si="137"/>
        <v>800000</v>
      </c>
      <c r="N127" s="136">
        <f t="shared" si="138"/>
        <v>4</v>
      </c>
      <c r="O127" s="96" t="s">
        <v>248</v>
      </c>
      <c r="P127" s="75" t="s">
        <v>59</v>
      </c>
      <c r="Q127" s="96" t="s">
        <v>249</v>
      </c>
      <c r="R127" s="197"/>
      <c r="S127" s="197"/>
      <c r="T127" s="77">
        <f t="shared" si="139"/>
        <v>0</v>
      </c>
      <c r="U127" s="176">
        <f t="shared" si="140"/>
        <v>0</v>
      </c>
      <c r="V127" s="88"/>
      <c r="W127" s="88"/>
      <c r="X127" s="177"/>
      <c r="Y127" s="177"/>
      <c r="Z127" s="177"/>
      <c r="AA127" s="177"/>
    </row>
    <row r="128" ht="14.25" customHeight="1" spans="1:27">
      <c r="A128" s="88" t="s">
        <v>250</v>
      </c>
      <c r="B128" s="77"/>
      <c r="C128" s="77"/>
      <c r="D128" s="77"/>
      <c r="E128" s="117"/>
      <c r="F128" s="118"/>
      <c r="G128" s="119"/>
      <c r="H128" s="118"/>
      <c r="I128" s="77"/>
      <c r="J128" s="136"/>
      <c r="K128" s="77"/>
      <c r="L128" s="136"/>
      <c r="M128" s="77"/>
      <c r="N128" s="136"/>
      <c r="O128" s="96"/>
      <c r="P128" s="75"/>
      <c r="Q128" s="96"/>
      <c r="R128" s="197"/>
      <c r="S128" s="197"/>
      <c r="T128" s="88"/>
      <c r="U128" s="176"/>
      <c r="V128" s="88"/>
      <c r="W128" s="88"/>
      <c r="X128" s="177"/>
      <c r="Y128" s="177"/>
      <c r="Z128" s="177"/>
      <c r="AA128" s="177"/>
    </row>
    <row r="129" ht="12" customHeight="1" spans="1:27">
      <c r="A129" s="161" t="s">
        <v>251</v>
      </c>
      <c r="B129" s="77" t="s">
        <v>238</v>
      </c>
      <c r="C129" s="77" t="s">
        <v>252</v>
      </c>
      <c r="D129" s="77">
        <v>100000</v>
      </c>
      <c r="E129" s="117">
        <v>500000</v>
      </c>
      <c r="F129" s="118">
        <f t="shared" ref="F129:F130" si="141">E129/2000</f>
        <v>250</v>
      </c>
      <c r="G129" s="119">
        <v>1000000</v>
      </c>
      <c r="H129" s="118">
        <f t="shared" ref="H129:H130" si="142">G129/2000</f>
        <v>500</v>
      </c>
      <c r="I129" s="77">
        <f t="shared" ref="I129:I130" si="143">G129-E129</f>
        <v>500000</v>
      </c>
      <c r="J129" s="136">
        <f t="shared" ref="J129:J130" si="144">I129/E129</f>
        <v>1</v>
      </c>
      <c r="K129" s="77">
        <f t="shared" ref="K129:K130" si="145">E129-D129</f>
        <v>400000</v>
      </c>
      <c r="L129" s="136">
        <f t="shared" ref="L129:L130" si="146">K129/D129</f>
        <v>4</v>
      </c>
      <c r="M129" s="77">
        <f t="shared" ref="M129:M130" si="147">G129-D129</f>
        <v>900000</v>
      </c>
      <c r="N129" s="136">
        <f t="shared" ref="N129:N130" si="148">M129/D129</f>
        <v>9</v>
      </c>
      <c r="O129" s="96"/>
      <c r="P129" s="75" t="s">
        <v>218</v>
      </c>
      <c r="Q129" s="96" t="s">
        <v>253</v>
      </c>
      <c r="R129" s="197"/>
      <c r="S129" s="197"/>
      <c r="T129" s="77">
        <f>D129*S129</f>
        <v>0</v>
      </c>
      <c r="U129" s="176">
        <f>T129/2200</f>
        <v>0</v>
      </c>
      <c r="V129" s="88"/>
      <c r="W129" s="88"/>
      <c r="X129" s="177"/>
      <c r="Y129" s="177"/>
      <c r="Z129" s="177"/>
      <c r="AA129" s="177"/>
    </row>
    <row r="130" ht="14.25" customHeight="1" spans="1:27">
      <c r="A130" s="88" t="s">
        <v>254</v>
      </c>
      <c r="B130" s="77" t="s">
        <v>238</v>
      </c>
      <c r="C130" s="77" t="s">
        <v>255</v>
      </c>
      <c r="D130" s="77">
        <v>300000</v>
      </c>
      <c r="E130" s="117">
        <v>1000000</v>
      </c>
      <c r="F130" s="118">
        <f t="shared" si="141"/>
        <v>500</v>
      </c>
      <c r="G130" s="119">
        <v>1500000</v>
      </c>
      <c r="H130" s="118">
        <f t="shared" si="142"/>
        <v>750</v>
      </c>
      <c r="I130" s="77">
        <f t="shared" si="143"/>
        <v>500000</v>
      </c>
      <c r="J130" s="136">
        <f t="shared" si="144"/>
        <v>0.5</v>
      </c>
      <c r="K130" s="77">
        <f t="shared" si="145"/>
        <v>700000</v>
      </c>
      <c r="L130" s="136">
        <f t="shared" si="146"/>
        <v>2.33333333333333</v>
      </c>
      <c r="M130" s="77">
        <f t="shared" si="147"/>
        <v>1200000</v>
      </c>
      <c r="N130" s="136">
        <f t="shared" si="148"/>
        <v>4</v>
      </c>
      <c r="O130" s="205"/>
      <c r="P130" s="75"/>
      <c r="Q130" s="96"/>
      <c r="R130" s="197"/>
      <c r="S130" s="197"/>
      <c r="T130" s="88"/>
      <c r="U130" s="176"/>
      <c r="V130" s="88"/>
      <c r="W130" s="88"/>
      <c r="X130" s="177"/>
      <c r="Y130" s="177"/>
      <c r="Z130" s="177"/>
      <c r="AA130" s="177"/>
    </row>
    <row r="131" ht="14.25" customHeight="1" spans="1:27">
      <c r="A131" s="88" t="s">
        <v>256</v>
      </c>
      <c r="B131" s="77"/>
      <c r="C131" s="77"/>
      <c r="D131" s="77"/>
      <c r="E131" s="117">
        <v>1500000</v>
      </c>
      <c r="F131" s="118">
        <v>750</v>
      </c>
      <c r="G131" s="119">
        <v>2000000</v>
      </c>
      <c r="H131" s="118">
        <v>1000</v>
      </c>
      <c r="I131" s="77"/>
      <c r="J131" s="136"/>
      <c r="K131" s="77"/>
      <c r="L131" s="136"/>
      <c r="M131" s="77"/>
      <c r="N131" s="136"/>
      <c r="O131" s="205"/>
      <c r="P131" s="75"/>
      <c r="Q131" s="96"/>
      <c r="R131" s="197"/>
      <c r="S131" s="197"/>
      <c r="T131" s="88"/>
      <c r="U131" s="176"/>
      <c r="V131" s="88"/>
      <c r="W131" s="88"/>
      <c r="X131" s="177"/>
      <c r="Y131" s="177"/>
      <c r="Z131" s="177"/>
      <c r="AA131" s="177"/>
    </row>
    <row r="132" ht="14.25" customHeight="1" spans="1:27">
      <c r="A132" s="88" t="s">
        <v>257</v>
      </c>
      <c r="B132" s="77"/>
      <c r="C132" s="77"/>
      <c r="D132" s="77"/>
      <c r="E132" s="117">
        <v>1500000</v>
      </c>
      <c r="F132" s="118">
        <v>750</v>
      </c>
      <c r="G132" s="119">
        <v>2000000</v>
      </c>
      <c r="H132" s="118">
        <v>1000</v>
      </c>
      <c r="I132" s="77"/>
      <c r="J132" s="136"/>
      <c r="K132" s="77"/>
      <c r="L132" s="136"/>
      <c r="M132" s="77"/>
      <c r="N132" s="136"/>
      <c r="O132" s="205"/>
      <c r="P132" s="75"/>
      <c r="Q132" s="96"/>
      <c r="R132" s="197"/>
      <c r="S132" s="197"/>
      <c r="T132" s="88"/>
      <c r="U132" s="176"/>
      <c r="V132" s="88"/>
      <c r="W132" s="88"/>
      <c r="X132" s="177"/>
      <c r="Y132" s="177"/>
      <c r="Z132" s="177"/>
      <c r="AA132" s="177"/>
    </row>
    <row r="133" ht="13.5" customHeight="1" spans="1:27">
      <c r="A133" s="161" t="s">
        <v>258</v>
      </c>
      <c r="B133" s="77" t="s">
        <v>238</v>
      </c>
      <c r="C133" s="77" t="s">
        <v>259</v>
      </c>
      <c r="D133" s="77">
        <v>1000000</v>
      </c>
      <c r="E133" s="117">
        <v>2500000</v>
      </c>
      <c r="F133" s="118">
        <f t="shared" ref="F133:F135" si="149">E133/2000</f>
        <v>1250</v>
      </c>
      <c r="G133" s="119">
        <v>4000000</v>
      </c>
      <c r="H133" s="118">
        <f t="shared" ref="H133:H135" si="150">G133/2000</f>
        <v>2000</v>
      </c>
      <c r="I133" s="77">
        <f t="shared" ref="I133:I135" si="151">G133-E133</f>
        <v>1500000</v>
      </c>
      <c r="J133" s="136">
        <f t="shared" ref="J133:J135" si="152">I133/E133</f>
        <v>0.6</v>
      </c>
      <c r="K133" s="77">
        <f t="shared" ref="K133:K135" si="153">E133-D133</f>
        <v>1500000</v>
      </c>
      <c r="L133" s="136">
        <f t="shared" ref="L133:L135" si="154">K133/D133</f>
        <v>1.5</v>
      </c>
      <c r="M133" s="77">
        <f>G133-D133</f>
        <v>3000000</v>
      </c>
      <c r="N133" s="136">
        <f t="shared" ref="N133:N135" si="155">M133/D133</f>
        <v>3</v>
      </c>
      <c r="O133" s="206" t="s">
        <v>260</v>
      </c>
      <c r="P133" s="76"/>
      <c r="Q133" s="96" t="s">
        <v>261</v>
      </c>
      <c r="R133" s="197"/>
      <c r="S133" s="197"/>
      <c r="T133" s="77">
        <f t="shared" ref="T133:T140" si="156">D133*S133</f>
        <v>0</v>
      </c>
      <c r="U133" s="176">
        <f t="shared" ref="U133:U140" si="157">T133/2200</f>
        <v>0</v>
      </c>
      <c r="V133" s="88"/>
      <c r="W133" s="88"/>
      <c r="X133" s="177"/>
      <c r="Y133" s="177"/>
      <c r="Z133" s="177"/>
      <c r="AA133" s="177"/>
    </row>
    <row r="134" ht="14.25" customHeight="1" spans="1:27">
      <c r="A134" s="161" t="s">
        <v>262</v>
      </c>
      <c r="B134" s="77" t="s">
        <v>238</v>
      </c>
      <c r="C134" s="77" t="s">
        <v>263</v>
      </c>
      <c r="D134" s="77">
        <v>1000000</v>
      </c>
      <c r="E134" s="117">
        <v>2000000</v>
      </c>
      <c r="F134" s="118">
        <f t="shared" si="149"/>
        <v>1000</v>
      </c>
      <c r="G134" s="119">
        <v>3000000</v>
      </c>
      <c r="H134" s="118">
        <f t="shared" si="150"/>
        <v>1500</v>
      </c>
      <c r="I134" s="77">
        <f t="shared" si="151"/>
        <v>1000000</v>
      </c>
      <c r="J134" s="136">
        <f t="shared" si="152"/>
        <v>0.5</v>
      </c>
      <c r="K134" s="77">
        <f t="shared" si="153"/>
        <v>1000000</v>
      </c>
      <c r="L134" s="136">
        <f t="shared" si="154"/>
        <v>1</v>
      </c>
      <c r="M134" s="77">
        <f>G133-D134</f>
        <v>3000000</v>
      </c>
      <c r="N134" s="136">
        <f t="shared" si="155"/>
        <v>3</v>
      </c>
      <c r="O134" s="96" t="s">
        <v>248</v>
      </c>
      <c r="P134" s="75"/>
      <c r="Q134" s="96"/>
      <c r="R134" s="197"/>
      <c r="S134" s="197"/>
      <c r="T134" s="77">
        <f t="shared" si="156"/>
        <v>0</v>
      </c>
      <c r="U134" s="176">
        <f t="shared" si="157"/>
        <v>0</v>
      </c>
      <c r="V134" s="88"/>
      <c r="W134" s="88"/>
      <c r="X134" s="177"/>
      <c r="Y134" s="177"/>
      <c r="Z134" s="177"/>
      <c r="AA134" s="177"/>
    </row>
    <row r="135" ht="14.25" customHeight="1" spans="1:27">
      <c r="A135" s="161" t="s">
        <v>264</v>
      </c>
      <c r="B135" s="77" t="s">
        <v>238</v>
      </c>
      <c r="C135" s="77" t="s">
        <v>265</v>
      </c>
      <c r="D135" s="77">
        <v>2000000</v>
      </c>
      <c r="E135" s="117">
        <v>3500000</v>
      </c>
      <c r="F135" s="118">
        <f t="shared" si="149"/>
        <v>1750</v>
      </c>
      <c r="G135" s="119">
        <v>5000000</v>
      </c>
      <c r="H135" s="118">
        <f t="shared" si="150"/>
        <v>2500</v>
      </c>
      <c r="I135" s="77">
        <f t="shared" si="151"/>
        <v>1500000</v>
      </c>
      <c r="J135" s="136">
        <f t="shared" si="152"/>
        <v>0.428571428571429</v>
      </c>
      <c r="K135" s="77">
        <f t="shared" si="153"/>
        <v>1500000</v>
      </c>
      <c r="L135" s="136">
        <f t="shared" si="154"/>
        <v>0.75</v>
      </c>
      <c r="M135" s="77">
        <f>G135-D135</f>
        <v>3000000</v>
      </c>
      <c r="N135" s="136">
        <f t="shared" si="155"/>
        <v>1.5</v>
      </c>
      <c r="O135" s="96" t="s">
        <v>266</v>
      </c>
      <c r="P135" s="75" t="s">
        <v>59</v>
      </c>
      <c r="Q135" s="96"/>
      <c r="R135" s="197"/>
      <c r="S135" s="197"/>
      <c r="T135" s="77">
        <f t="shared" si="156"/>
        <v>0</v>
      </c>
      <c r="U135" s="176">
        <f t="shared" si="157"/>
        <v>0</v>
      </c>
      <c r="V135" s="88"/>
      <c r="W135" s="88"/>
      <c r="X135" s="177"/>
      <c r="Y135" s="177"/>
      <c r="Z135" s="177"/>
      <c r="AA135" s="177"/>
    </row>
    <row r="136" ht="15" customHeight="1" spans="1:27">
      <c r="A136" s="161" t="s">
        <v>267</v>
      </c>
      <c r="B136" s="77"/>
      <c r="C136" s="77"/>
      <c r="D136" s="77"/>
      <c r="E136" s="201"/>
      <c r="F136" s="118"/>
      <c r="G136" s="119"/>
      <c r="H136" s="118"/>
      <c r="I136" s="77"/>
      <c r="J136" s="136"/>
      <c r="K136" s="77"/>
      <c r="L136" s="136"/>
      <c r="M136" s="77"/>
      <c r="N136" s="136"/>
      <c r="O136" s="96" t="s">
        <v>268</v>
      </c>
      <c r="P136" s="76"/>
      <c r="Q136" s="96" t="s">
        <v>269</v>
      </c>
      <c r="R136" s="197"/>
      <c r="S136" s="197"/>
      <c r="T136" s="77">
        <f t="shared" si="156"/>
        <v>0</v>
      </c>
      <c r="U136" s="176">
        <f t="shared" si="157"/>
        <v>0</v>
      </c>
      <c r="V136" s="88"/>
      <c r="W136" s="88"/>
      <c r="X136" s="177"/>
      <c r="Y136" s="177"/>
      <c r="Z136" s="177"/>
      <c r="AA136" s="177"/>
    </row>
    <row r="137" ht="15" customHeight="1" spans="1:27">
      <c r="A137" s="161" t="s">
        <v>270</v>
      </c>
      <c r="B137" s="77"/>
      <c r="C137" s="77"/>
      <c r="D137" s="77"/>
      <c r="E137" s="201"/>
      <c r="F137" s="118"/>
      <c r="G137" s="119"/>
      <c r="H137" s="118"/>
      <c r="I137" s="77"/>
      <c r="J137" s="136"/>
      <c r="K137" s="77"/>
      <c r="L137" s="136"/>
      <c r="M137" s="77"/>
      <c r="N137" s="136"/>
      <c r="O137" s="96" t="s">
        <v>271</v>
      </c>
      <c r="P137" s="76"/>
      <c r="Q137" s="96" t="s">
        <v>272</v>
      </c>
      <c r="R137" s="197"/>
      <c r="S137" s="197"/>
      <c r="T137" s="77">
        <f t="shared" si="156"/>
        <v>0</v>
      </c>
      <c r="U137" s="176">
        <f t="shared" si="157"/>
        <v>0</v>
      </c>
      <c r="V137" s="88"/>
      <c r="W137" s="88"/>
      <c r="X137" s="177"/>
      <c r="Y137" s="177"/>
      <c r="Z137" s="177"/>
      <c r="AA137" s="177"/>
    </row>
    <row r="138" customHeight="1" spans="1:27">
      <c r="A138" s="161" t="s">
        <v>273</v>
      </c>
      <c r="B138" s="77"/>
      <c r="C138" s="77"/>
      <c r="D138" s="77"/>
      <c r="E138" s="201"/>
      <c r="F138" s="118"/>
      <c r="G138" s="119"/>
      <c r="H138" s="118"/>
      <c r="I138" s="77"/>
      <c r="J138" s="136"/>
      <c r="K138" s="77"/>
      <c r="L138" s="136"/>
      <c r="M138" s="77"/>
      <c r="N138" s="136"/>
      <c r="O138" s="96" t="s">
        <v>274</v>
      </c>
      <c r="P138" s="76"/>
      <c r="Q138" s="96" t="s">
        <v>275</v>
      </c>
      <c r="R138" s="197"/>
      <c r="S138" s="197"/>
      <c r="T138" s="77">
        <f t="shared" si="156"/>
        <v>0</v>
      </c>
      <c r="U138" s="176">
        <f t="shared" si="157"/>
        <v>0</v>
      </c>
      <c r="V138" s="88"/>
      <c r="W138" s="88"/>
      <c r="X138" s="177"/>
      <c r="Y138" s="177"/>
      <c r="Z138" s="177"/>
      <c r="AA138" s="177"/>
    </row>
    <row r="139" ht="14.25" customHeight="1" spans="1:27">
      <c r="A139" s="161" t="s">
        <v>276</v>
      </c>
      <c r="B139" s="77"/>
      <c r="C139" s="77"/>
      <c r="D139" s="77"/>
      <c r="E139" s="117"/>
      <c r="F139" s="118"/>
      <c r="G139" s="119"/>
      <c r="H139" s="118"/>
      <c r="I139" s="77"/>
      <c r="J139" s="136"/>
      <c r="K139" s="77"/>
      <c r="L139" s="136"/>
      <c r="M139" s="77"/>
      <c r="N139" s="136"/>
      <c r="O139" s="96" t="s">
        <v>277</v>
      </c>
      <c r="P139" s="75"/>
      <c r="Q139" s="96" t="s">
        <v>278</v>
      </c>
      <c r="R139" s="197"/>
      <c r="S139" s="197"/>
      <c r="T139" s="77">
        <f t="shared" si="156"/>
        <v>0</v>
      </c>
      <c r="U139" s="176">
        <f t="shared" si="157"/>
        <v>0</v>
      </c>
      <c r="V139" s="88"/>
      <c r="W139" s="88"/>
      <c r="X139" s="177"/>
      <c r="Y139" s="177"/>
      <c r="Z139" s="177"/>
      <c r="AA139" s="177"/>
    </row>
    <row r="140" customHeight="1" spans="1:27">
      <c r="A140" s="161" t="s">
        <v>279</v>
      </c>
      <c r="B140" s="77" t="s">
        <v>238</v>
      </c>
      <c r="C140" s="77" t="s">
        <v>280</v>
      </c>
      <c r="D140" s="77">
        <v>300000</v>
      </c>
      <c r="E140" s="117">
        <v>1000000</v>
      </c>
      <c r="F140" s="118">
        <f>E140/2000</f>
        <v>500</v>
      </c>
      <c r="G140" s="119">
        <v>2000000</v>
      </c>
      <c r="H140" s="118">
        <f>G140/2000</f>
        <v>1000</v>
      </c>
      <c r="I140" s="77">
        <f>G140-E140</f>
        <v>1000000</v>
      </c>
      <c r="J140" s="136">
        <f>I140/E140</f>
        <v>1</v>
      </c>
      <c r="K140" s="77">
        <f>E140-D140</f>
        <v>700000</v>
      </c>
      <c r="L140" s="136">
        <f>K140/D140</f>
        <v>2.33333333333333</v>
      </c>
      <c r="M140" s="77">
        <f>G140-D140</f>
        <v>1700000</v>
      </c>
      <c r="N140" s="136">
        <f>M140/D140</f>
        <v>5.66666666666667</v>
      </c>
      <c r="O140" s="207" t="s">
        <v>281</v>
      </c>
      <c r="P140" s="75" t="s">
        <v>59</v>
      </c>
      <c r="Q140" s="96" t="s">
        <v>282</v>
      </c>
      <c r="R140" s="197"/>
      <c r="S140" s="197"/>
      <c r="T140" s="77">
        <f t="shared" si="156"/>
        <v>0</v>
      </c>
      <c r="U140" s="176">
        <f t="shared" si="157"/>
        <v>0</v>
      </c>
      <c r="V140" s="88"/>
      <c r="W140" s="88"/>
      <c r="X140" s="177"/>
      <c r="Y140" s="177"/>
      <c r="Z140" s="177"/>
      <c r="AA140" s="177"/>
    </row>
    <row r="141" customHeight="1" spans="1:27">
      <c r="A141" s="161" t="s">
        <v>283</v>
      </c>
      <c r="B141" s="77"/>
      <c r="C141" s="77"/>
      <c r="D141" s="77"/>
      <c r="E141" s="117"/>
      <c r="F141" s="118"/>
      <c r="G141" s="119"/>
      <c r="H141" s="118"/>
      <c r="I141" s="77"/>
      <c r="J141" s="136"/>
      <c r="K141" s="77"/>
      <c r="L141" s="136"/>
      <c r="M141" s="77"/>
      <c r="N141" s="136"/>
      <c r="O141" s="207"/>
      <c r="P141" s="75"/>
      <c r="Q141" s="96"/>
      <c r="R141" s="197"/>
      <c r="S141" s="197"/>
      <c r="T141" s="88"/>
      <c r="U141" s="176"/>
      <c r="V141" s="88"/>
      <c r="W141" s="88"/>
      <c r="X141" s="177"/>
      <c r="Y141" s="177"/>
      <c r="Z141" s="177"/>
      <c r="AA141" s="177"/>
    </row>
    <row r="142" ht="15" customHeight="1" spans="1:27">
      <c r="A142" s="161" t="s">
        <v>284</v>
      </c>
      <c r="B142" s="77" t="s">
        <v>238</v>
      </c>
      <c r="C142" s="77" t="s">
        <v>285</v>
      </c>
      <c r="D142" s="77">
        <v>2000000</v>
      </c>
      <c r="E142" s="117">
        <v>3500000</v>
      </c>
      <c r="F142" s="118">
        <f t="shared" ref="F142:F146" si="158">E142/2000</f>
        <v>1750</v>
      </c>
      <c r="G142" s="119">
        <v>5000000</v>
      </c>
      <c r="H142" s="118">
        <f t="shared" ref="H142:H146" si="159">G142/2000</f>
        <v>2500</v>
      </c>
      <c r="I142" s="77">
        <f t="shared" ref="I142:I146" si="160">G142-E142</f>
        <v>1500000</v>
      </c>
      <c r="J142" s="136">
        <f t="shared" ref="J142:J146" si="161">I142/E142</f>
        <v>0.428571428571429</v>
      </c>
      <c r="K142" s="77">
        <f t="shared" ref="K142:K146" si="162">E142-D142</f>
        <v>1500000</v>
      </c>
      <c r="L142" s="136">
        <f t="shared" ref="L142:L146" si="163">K142/D142</f>
        <v>0.75</v>
      </c>
      <c r="M142" s="77">
        <f t="shared" ref="M142:M146" si="164">G142-D142</f>
        <v>3000000</v>
      </c>
      <c r="N142" s="136">
        <f t="shared" ref="N142:N146" si="165">M142/D142</f>
        <v>1.5</v>
      </c>
      <c r="O142" s="96" t="s">
        <v>286</v>
      </c>
      <c r="P142" s="75" t="s">
        <v>287</v>
      </c>
      <c r="Q142" s="96" t="s">
        <v>288</v>
      </c>
      <c r="R142" s="197"/>
      <c r="S142" s="197"/>
      <c r="T142" s="77">
        <f t="shared" ref="T142:T146" si="166">D142*S142</f>
        <v>0</v>
      </c>
      <c r="U142" s="176">
        <f t="shared" ref="U142:U146" si="167">T142/2200</f>
        <v>0</v>
      </c>
      <c r="V142" s="88"/>
      <c r="W142" s="88"/>
      <c r="X142" s="177"/>
      <c r="Y142" s="177"/>
      <c r="Z142" s="177"/>
      <c r="AA142" s="177"/>
    </row>
    <row r="143" ht="12" customHeight="1" spans="1:27">
      <c r="A143" s="198" t="s">
        <v>289</v>
      </c>
      <c r="B143" s="77" t="s">
        <v>238</v>
      </c>
      <c r="C143" s="77" t="s">
        <v>290</v>
      </c>
      <c r="D143" s="77">
        <v>1000000</v>
      </c>
      <c r="E143" s="117">
        <v>5000000</v>
      </c>
      <c r="F143" s="118">
        <f t="shared" si="158"/>
        <v>2500</v>
      </c>
      <c r="G143" s="119">
        <v>5000000</v>
      </c>
      <c r="H143" s="118">
        <f t="shared" si="159"/>
        <v>2500</v>
      </c>
      <c r="I143" s="77">
        <f t="shared" si="160"/>
        <v>0</v>
      </c>
      <c r="J143" s="136">
        <f t="shared" si="161"/>
        <v>0</v>
      </c>
      <c r="K143" s="77">
        <f t="shared" si="162"/>
        <v>4000000</v>
      </c>
      <c r="L143" s="136">
        <f t="shared" si="163"/>
        <v>4</v>
      </c>
      <c r="M143" s="77">
        <f t="shared" si="164"/>
        <v>4000000</v>
      </c>
      <c r="N143" s="136">
        <f t="shared" si="165"/>
        <v>4</v>
      </c>
      <c r="O143" s="157" t="s">
        <v>291</v>
      </c>
      <c r="P143" s="157"/>
      <c r="Q143" s="157"/>
      <c r="R143" s="156"/>
      <c r="S143" s="156"/>
      <c r="T143" s="77">
        <f t="shared" si="166"/>
        <v>0</v>
      </c>
      <c r="U143" s="176">
        <f t="shared" si="167"/>
        <v>0</v>
      </c>
      <c r="V143" s="88"/>
      <c r="W143" s="88"/>
      <c r="X143" s="177"/>
      <c r="Y143" s="177"/>
      <c r="Z143" s="177"/>
      <c r="AA143" s="177"/>
    </row>
    <row r="144" customHeight="1" spans="1:27">
      <c r="A144" s="161" t="s">
        <v>292</v>
      </c>
      <c r="B144" s="77" t="s">
        <v>293</v>
      </c>
      <c r="C144" s="77" t="s">
        <v>294</v>
      </c>
      <c r="D144" s="77">
        <v>1000000</v>
      </c>
      <c r="E144" s="117">
        <v>2000000</v>
      </c>
      <c r="F144" s="118">
        <f t="shared" si="158"/>
        <v>1000</v>
      </c>
      <c r="G144" s="119">
        <v>3000000</v>
      </c>
      <c r="H144" s="118">
        <f t="shared" si="159"/>
        <v>1500</v>
      </c>
      <c r="I144" s="77">
        <f t="shared" si="160"/>
        <v>1000000</v>
      </c>
      <c r="J144" s="136">
        <f t="shared" si="161"/>
        <v>0.5</v>
      </c>
      <c r="K144" s="77">
        <f t="shared" si="162"/>
        <v>1000000</v>
      </c>
      <c r="L144" s="136">
        <f t="shared" si="163"/>
        <v>1</v>
      </c>
      <c r="M144" s="77">
        <f t="shared" si="164"/>
        <v>2000000</v>
      </c>
      <c r="N144" s="136">
        <f t="shared" si="165"/>
        <v>2</v>
      </c>
      <c r="O144" s="207"/>
      <c r="P144" s="75"/>
      <c r="Q144" s="96"/>
      <c r="R144" s="197"/>
      <c r="S144" s="197"/>
      <c r="T144" s="77">
        <f t="shared" si="166"/>
        <v>0</v>
      </c>
      <c r="U144" s="176">
        <f t="shared" si="167"/>
        <v>0</v>
      </c>
      <c r="V144" s="88"/>
      <c r="W144" s="88"/>
      <c r="X144" s="177"/>
      <c r="Y144" s="177"/>
      <c r="Z144" s="177"/>
      <c r="AA144" s="177"/>
    </row>
    <row r="145" ht="15.2" spans="1:27">
      <c r="A145" s="161" t="s">
        <v>295</v>
      </c>
      <c r="B145" s="77" t="s">
        <v>293</v>
      </c>
      <c r="C145" s="77" t="s">
        <v>296</v>
      </c>
      <c r="D145" s="77">
        <v>1500000</v>
      </c>
      <c r="E145" s="117">
        <v>3000000</v>
      </c>
      <c r="F145" s="118">
        <f t="shared" si="158"/>
        <v>1500</v>
      </c>
      <c r="G145" s="119">
        <v>4000000</v>
      </c>
      <c r="H145" s="118">
        <f t="shared" si="159"/>
        <v>2000</v>
      </c>
      <c r="I145" s="77">
        <f t="shared" si="160"/>
        <v>1000000</v>
      </c>
      <c r="J145" s="136">
        <f t="shared" si="161"/>
        <v>0.333333333333333</v>
      </c>
      <c r="K145" s="77">
        <f t="shared" si="162"/>
        <v>1500000</v>
      </c>
      <c r="L145" s="136">
        <f t="shared" si="163"/>
        <v>1</v>
      </c>
      <c r="M145" s="77">
        <f t="shared" si="164"/>
        <v>2500000</v>
      </c>
      <c r="N145" s="136">
        <f t="shared" si="165"/>
        <v>1.66666666666667</v>
      </c>
      <c r="O145" s="207"/>
      <c r="P145" s="75"/>
      <c r="Q145" s="96"/>
      <c r="R145" s="197"/>
      <c r="S145" s="197"/>
      <c r="T145" s="77">
        <f t="shared" si="166"/>
        <v>0</v>
      </c>
      <c r="U145" s="176">
        <f t="shared" si="167"/>
        <v>0</v>
      </c>
      <c r="V145" s="88"/>
      <c r="W145" s="88"/>
      <c r="X145" s="177"/>
      <c r="Y145" s="177"/>
      <c r="Z145" s="177"/>
      <c r="AA145" s="177"/>
    </row>
    <row r="146" customHeight="1" spans="1:27">
      <c r="A146" s="157" t="s">
        <v>297</v>
      </c>
      <c r="B146" s="77" t="s">
        <v>293</v>
      </c>
      <c r="C146" s="157" t="s">
        <v>298</v>
      </c>
      <c r="D146" s="77">
        <v>4500000</v>
      </c>
      <c r="E146" s="117">
        <v>8000000</v>
      </c>
      <c r="F146" s="118">
        <f t="shared" si="158"/>
        <v>4000</v>
      </c>
      <c r="G146" s="119">
        <v>10000000</v>
      </c>
      <c r="H146" s="118">
        <f t="shared" si="159"/>
        <v>5000</v>
      </c>
      <c r="I146" s="77">
        <f t="shared" si="160"/>
        <v>2000000</v>
      </c>
      <c r="J146" s="136">
        <f t="shared" si="161"/>
        <v>0.25</v>
      </c>
      <c r="K146" s="77">
        <f t="shared" si="162"/>
        <v>3500000</v>
      </c>
      <c r="L146" s="136">
        <f t="shared" si="163"/>
        <v>0.777777777777778</v>
      </c>
      <c r="M146" s="77">
        <f t="shared" si="164"/>
        <v>5500000</v>
      </c>
      <c r="N146" s="136">
        <f t="shared" si="165"/>
        <v>1.22222222222222</v>
      </c>
      <c r="O146" s="157" t="s">
        <v>299</v>
      </c>
      <c r="P146" s="75" t="s">
        <v>300</v>
      </c>
      <c r="Q146" s="157"/>
      <c r="R146" s="156"/>
      <c r="S146" s="156"/>
      <c r="T146" s="77">
        <f t="shared" si="166"/>
        <v>0</v>
      </c>
      <c r="U146" s="176">
        <f t="shared" si="167"/>
        <v>0</v>
      </c>
      <c r="V146" s="88"/>
      <c r="W146" s="88"/>
      <c r="X146" s="177"/>
      <c r="Y146" s="177"/>
      <c r="Z146" s="177"/>
      <c r="AA146" s="177"/>
    </row>
    <row r="147" customHeight="1" spans="1:27">
      <c r="A147" s="157" t="s">
        <v>301</v>
      </c>
      <c r="B147" s="77" t="s">
        <v>293</v>
      </c>
      <c r="C147" s="157" t="s">
        <v>302</v>
      </c>
      <c r="D147" s="77">
        <v>4500000</v>
      </c>
      <c r="E147" s="202">
        <v>8000000</v>
      </c>
      <c r="F147" s="118">
        <f>E146/2000</f>
        <v>4000</v>
      </c>
      <c r="G147" s="119">
        <v>10000000</v>
      </c>
      <c r="H147" s="118">
        <v>5000</v>
      </c>
      <c r="I147" s="77"/>
      <c r="J147" s="136"/>
      <c r="K147" s="77"/>
      <c r="L147" s="136"/>
      <c r="M147" s="77"/>
      <c r="N147" s="136"/>
      <c r="O147" s="157" t="s">
        <v>303</v>
      </c>
      <c r="P147" s="75" t="s">
        <v>304</v>
      </c>
      <c r="Q147" s="157"/>
      <c r="R147" s="156"/>
      <c r="S147" s="156"/>
      <c r="T147" s="88"/>
      <c r="U147" s="176"/>
      <c r="V147" s="88"/>
      <c r="W147" s="88"/>
      <c r="X147" s="177"/>
      <c r="Y147" s="177"/>
      <c r="Z147" s="177"/>
      <c r="AA147" s="177"/>
    </row>
    <row r="148" customHeight="1" spans="1:27">
      <c r="A148" s="157" t="s">
        <v>305</v>
      </c>
      <c r="B148" s="77" t="s">
        <v>293</v>
      </c>
      <c r="C148" s="157" t="s">
        <v>306</v>
      </c>
      <c r="D148" s="77">
        <v>22500000</v>
      </c>
      <c r="E148" s="117">
        <v>50000000</v>
      </c>
      <c r="F148" s="118">
        <v>23000</v>
      </c>
      <c r="G148" s="119">
        <v>60000000</v>
      </c>
      <c r="H148" s="118">
        <v>27000</v>
      </c>
      <c r="I148" s="77"/>
      <c r="J148" s="136"/>
      <c r="K148" s="77"/>
      <c r="L148" s="136"/>
      <c r="M148" s="77"/>
      <c r="N148" s="136"/>
      <c r="O148" s="157" t="s">
        <v>307</v>
      </c>
      <c r="P148" s="75" t="s">
        <v>308</v>
      </c>
      <c r="Q148" s="157"/>
      <c r="R148" s="156"/>
      <c r="S148" s="156"/>
      <c r="T148" s="88"/>
      <c r="U148" s="176"/>
      <c r="V148" s="88"/>
      <c r="W148" s="88"/>
      <c r="X148" s="177"/>
      <c r="Y148" s="177"/>
      <c r="Z148" s="177"/>
      <c r="AA148" s="177"/>
    </row>
    <row r="149" customHeight="1" spans="1:27">
      <c r="A149" s="199" t="s">
        <v>309</v>
      </c>
      <c r="B149" s="77"/>
      <c r="C149" s="157" t="s">
        <v>310</v>
      </c>
      <c r="D149" s="77">
        <v>10000000</v>
      </c>
      <c r="E149" s="117">
        <v>20000000</v>
      </c>
      <c r="F149" s="118">
        <v>10000</v>
      </c>
      <c r="G149" s="119">
        <v>30000000</v>
      </c>
      <c r="H149" s="118">
        <v>15000</v>
      </c>
      <c r="I149" s="77"/>
      <c r="J149" s="136"/>
      <c r="K149" s="77"/>
      <c r="L149" s="136"/>
      <c r="M149" s="77"/>
      <c r="N149" s="136"/>
      <c r="O149" s="157" t="s">
        <v>311</v>
      </c>
      <c r="P149" s="75" t="s">
        <v>312</v>
      </c>
      <c r="Q149" s="157"/>
      <c r="R149" s="156"/>
      <c r="S149" s="156"/>
      <c r="T149" s="88"/>
      <c r="U149" s="176"/>
      <c r="V149" s="88"/>
      <c r="W149" s="88"/>
      <c r="X149" s="177"/>
      <c r="Y149" s="177"/>
      <c r="Z149" s="177"/>
      <c r="AA149" s="177"/>
    </row>
    <row r="150" customHeight="1" spans="1:27">
      <c r="A150" s="199" t="s">
        <v>313</v>
      </c>
      <c r="B150" s="77"/>
      <c r="C150" s="157"/>
      <c r="D150" s="77"/>
      <c r="E150" s="117"/>
      <c r="F150" s="118"/>
      <c r="G150" s="119"/>
      <c r="H150" s="118"/>
      <c r="I150" s="77"/>
      <c r="J150" s="136"/>
      <c r="K150" s="77"/>
      <c r="L150" s="136"/>
      <c r="M150" s="77"/>
      <c r="N150" s="136"/>
      <c r="O150" s="157" t="s">
        <v>314</v>
      </c>
      <c r="P150" s="75"/>
      <c r="Q150" s="157"/>
      <c r="R150" s="156"/>
      <c r="S150" s="156"/>
      <c r="T150" s="88"/>
      <c r="U150" s="176"/>
      <c r="V150" s="88"/>
      <c r="W150" s="88"/>
      <c r="X150" s="177"/>
      <c r="Y150" s="177"/>
      <c r="Z150" s="177"/>
      <c r="AA150" s="177"/>
    </row>
    <row r="151" customHeight="1" spans="1:27">
      <c r="A151" s="199" t="s">
        <v>315</v>
      </c>
      <c r="B151" s="77"/>
      <c r="C151" s="157"/>
      <c r="D151" s="77"/>
      <c r="E151" s="117"/>
      <c r="F151" s="118"/>
      <c r="G151" s="119"/>
      <c r="H151" s="118"/>
      <c r="I151" s="77"/>
      <c r="J151" s="136"/>
      <c r="K151" s="77"/>
      <c r="L151" s="136"/>
      <c r="M151" s="77"/>
      <c r="N151" s="136"/>
      <c r="O151" s="157" t="s">
        <v>316</v>
      </c>
      <c r="P151" s="75"/>
      <c r="Q151" s="157"/>
      <c r="R151" s="156"/>
      <c r="S151" s="156"/>
      <c r="T151" s="88"/>
      <c r="U151" s="176"/>
      <c r="V151" s="88"/>
      <c r="W151" s="88"/>
      <c r="X151" s="177"/>
      <c r="Y151" s="177"/>
      <c r="Z151" s="177"/>
      <c r="AA151" s="177"/>
    </row>
    <row r="152" customHeight="1" spans="1:27">
      <c r="A152" s="199" t="s">
        <v>317</v>
      </c>
      <c r="B152" s="77"/>
      <c r="C152" s="157"/>
      <c r="D152" s="77"/>
      <c r="E152" s="117"/>
      <c r="F152" s="118"/>
      <c r="G152" s="119"/>
      <c r="H152" s="118"/>
      <c r="I152" s="77"/>
      <c r="J152" s="136"/>
      <c r="K152" s="77"/>
      <c r="L152" s="136"/>
      <c r="M152" s="77"/>
      <c r="N152" s="136"/>
      <c r="O152" s="157"/>
      <c r="P152" s="75"/>
      <c r="Q152" s="157"/>
      <c r="R152" s="156"/>
      <c r="S152" s="156"/>
      <c r="T152" s="88"/>
      <c r="U152" s="176"/>
      <c r="V152" s="88"/>
      <c r="W152" s="88"/>
      <c r="X152" s="177"/>
      <c r="Y152" s="177"/>
      <c r="Z152" s="177"/>
      <c r="AA152" s="177"/>
    </row>
    <row r="153" customHeight="1" spans="1:27">
      <c r="A153" s="157" t="s">
        <v>318</v>
      </c>
      <c r="B153" s="77"/>
      <c r="C153" s="157"/>
      <c r="D153" s="77">
        <v>8000000</v>
      </c>
      <c r="E153" s="117">
        <v>20000000</v>
      </c>
      <c r="F153" s="118">
        <v>18000</v>
      </c>
      <c r="G153" s="119">
        <v>45000000</v>
      </c>
      <c r="H153" s="118">
        <v>20000</v>
      </c>
      <c r="I153" s="77"/>
      <c r="J153" s="136"/>
      <c r="K153" s="77"/>
      <c r="L153" s="136"/>
      <c r="M153" s="77"/>
      <c r="N153" s="136"/>
      <c r="O153" s="157" t="s">
        <v>319</v>
      </c>
      <c r="P153" s="75"/>
      <c r="Q153" s="157"/>
      <c r="R153" s="156"/>
      <c r="S153" s="156"/>
      <c r="T153" s="88"/>
      <c r="U153" s="176"/>
      <c r="V153" s="88"/>
      <c r="W153" s="88"/>
      <c r="X153" s="177"/>
      <c r="Y153" s="177"/>
      <c r="Z153" s="177"/>
      <c r="AA153" s="177"/>
    </row>
    <row r="154" customHeight="1" spans="1:27">
      <c r="A154" s="157" t="s">
        <v>320</v>
      </c>
      <c r="B154" s="77" t="s">
        <v>293</v>
      </c>
      <c r="C154" s="157" t="s">
        <v>321</v>
      </c>
      <c r="D154" s="77"/>
      <c r="E154" s="117"/>
      <c r="F154" s="118"/>
      <c r="G154" s="119"/>
      <c r="H154" s="118"/>
      <c r="I154" s="77"/>
      <c r="J154" s="136"/>
      <c r="K154" s="77"/>
      <c r="L154" s="136"/>
      <c r="M154" s="77"/>
      <c r="N154" s="136"/>
      <c r="O154" s="157" t="s">
        <v>322</v>
      </c>
      <c r="P154" s="75"/>
      <c r="Q154" s="157"/>
      <c r="R154" s="156"/>
      <c r="S154" s="156"/>
      <c r="T154" s="88"/>
      <c r="U154" s="176"/>
      <c r="V154" s="88"/>
      <c r="W154" s="88"/>
      <c r="X154" s="177"/>
      <c r="Y154" s="177"/>
      <c r="Z154" s="177"/>
      <c r="AA154" s="177"/>
    </row>
    <row r="155" customHeight="1" spans="1:27">
      <c r="A155" s="157" t="s">
        <v>323</v>
      </c>
      <c r="B155" s="77" t="s">
        <v>293</v>
      </c>
      <c r="C155" s="157" t="s">
        <v>324</v>
      </c>
      <c r="D155" s="77">
        <v>8000000</v>
      </c>
      <c r="E155" s="117">
        <v>12000000</v>
      </c>
      <c r="F155" s="118">
        <v>6000</v>
      </c>
      <c r="G155" s="119">
        <v>15000000</v>
      </c>
      <c r="H155" s="118">
        <v>7500</v>
      </c>
      <c r="I155" s="77">
        <f>G155-E155</f>
        <v>3000000</v>
      </c>
      <c r="J155" s="136">
        <f>I155/E155</f>
        <v>0.25</v>
      </c>
      <c r="K155" s="77">
        <f>E155-D155</f>
        <v>4000000</v>
      </c>
      <c r="L155" s="136">
        <f>K155/D155</f>
        <v>0.5</v>
      </c>
      <c r="M155" s="77">
        <f>G155-D155</f>
        <v>7000000</v>
      </c>
      <c r="N155" s="136">
        <f>M155/D155</f>
        <v>0.875</v>
      </c>
      <c r="O155" s="157" t="s">
        <v>325</v>
      </c>
      <c r="P155" s="75" t="s">
        <v>326</v>
      </c>
      <c r="Q155" s="157"/>
      <c r="R155" s="156"/>
      <c r="S155" s="156"/>
      <c r="T155" s="88"/>
      <c r="U155" s="176"/>
      <c r="V155" s="88"/>
      <c r="W155" s="88"/>
      <c r="X155" s="177"/>
      <c r="Y155" s="177"/>
      <c r="Z155" s="177"/>
      <c r="AA155" s="177"/>
    </row>
    <row r="156" customHeight="1" spans="1:27">
      <c r="A156" s="157"/>
      <c r="B156" s="77"/>
      <c r="C156" s="157" t="s">
        <v>327</v>
      </c>
      <c r="D156" s="77"/>
      <c r="E156" s="117"/>
      <c r="F156" s="118"/>
      <c r="G156" s="119"/>
      <c r="H156" s="118"/>
      <c r="I156" s="77"/>
      <c r="J156" s="136"/>
      <c r="K156" s="77"/>
      <c r="L156" s="136"/>
      <c r="M156" s="77"/>
      <c r="N156" s="136"/>
      <c r="O156" s="157"/>
      <c r="P156" s="75"/>
      <c r="Q156" s="157"/>
      <c r="R156" s="156"/>
      <c r="S156" s="156"/>
      <c r="T156" s="88"/>
      <c r="U156" s="176"/>
      <c r="V156" s="88"/>
      <c r="W156" s="88"/>
      <c r="X156" s="177"/>
      <c r="Y156" s="177"/>
      <c r="Z156" s="177"/>
      <c r="AA156" s="177"/>
    </row>
    <row r="157" customHeight="1" spans="1:27">
      <c r="A157" s="157" t="s">
        <v>328</v>
      </c>
      <c r="B157" s="77"/>
      <c r="C157" s="157"/>
      <c r="D157" s="77"/>
      <c r="E157" s="117">
        <v>40000000</v>
      </c>
      <c r="F157" s="118"/>
      <c r="G157" s="119"/>
      <c r="H157" s="118"/>
      <c r="I157" s="77"/>
      <c r="J157" s="136"/>
      <c r="K157" s="77"/>
      <c r="L157" s="136"/>
      <c r="M157" s="77"/>
      <c r="N157" s="136"/>
      <c r="O157" s="157"/>
      <c r="P157" s="75"/>
      <c r="Q157" s="157"/>
      <c r="R157" s="156"/>
      <c r="S157" s="156"/>
      <c r="T157" s="88"/>
      <c r="U157" s="176"/>
      <c r="V157" s="88"/>
      <c r="W157" s="88"/>
      <c r="X157" s="177"/>
      <c r="Y157" s="177"/>
      <c r="Z157" s="177"/>
      <c r="AA157" s="177"/>
    </row>
    <row r="158" customHeight="1" spans="1:27">
      <c r="A158" s="157" t="s">
        <v>329</v>
      </c>
      <c r="B158" s="77" t="s">
        <v>293</v>
      </c>
      <c r="C158" s="157" t="s">
        <v>324</v>
      </c>
      <c r="D158" s="77">
        <v>8000000</v>
      </c>
      <c r="E158" s="117">
        <v>12000000</v>
      </c>
      <c r="F158" s="118">
        <v>6000</v>
      </c>
      <c r="G158" s="119">
        <v>15000000</v>
      </c>
      <c r="H158" s="118">
        <v>7500</v>
      </c>
      <c r="I158" s="77">
        <f>G158-E158</f>
        <v>3000000</v>
      </c>
      <c r="J158" s="136">
        <f>I158/E158</f>
        <v>0.25</v>
      </c>
      <c r="K158" s="77">
        <f>E158-D158</f>
        <v>4000000</v>
      </c>
      <c r="L158" s="136">
        <f>K158/D158</f>
        <v>0.5</v>
      </c>
      <c r="M158" s="77">
        <f>G158-D158</f>
        <v>7000000</v>
      </c>
      <c r="N158" s="136">
        <f>M158/D158</f>
        <v>0.875</v>
      </c>
      <c r="O158" s="157" t="s">
        <v>325</v>
      </c>
      <c r="P158" s="75" t="s">
        <v>326</v>
      </c>
      <c r="Q158" s="157"/>
      <c r="R158" s="156"/>
      <c r="S158" s="156"/>
      <c r="T158" s="88"/>
      <c r="U158" s="176"/>
      <c r="V158" s="88"/>
      <c r="W158" s="88"/>
      <c r="X158" s="177"/>
      <c r="Y158" s="177"/>
      <c r="Z158" s="177"/>
      <c r="AA158" s="177"/>
    </row>
    <row r="159" customHeight="1" spans="1:27">
      <c r="A159" s="157" t="s">
        <v>330</v>
      </c>
      <c r="B159" s="77"/>
      <c r="C159" s="157"/>
      <c r="D159" s="77"/>
      <c r="E159" s="117"/>
      <c r="F159" s="118"/>
      <c r="G159" s="119"/>
      <c r="H159" s="118"/>
      <c r="I159" s="77"/>
      <c r="J159" s="136"/>
      <c r="K159" s="77"/>
      <c r="L159" s="136"/>
      <c r="M159" s="77"/>
      <c r="N159" s="136"/>
      <c r="O159" s="157"/>
      <c r="P159" s="75"/>
      <c r="Q159" s="157"/>
      <c r="R159" s="156"/>
      <c r="S159" s="156"/>
      <c r="T159" s="88"/>
      <c r="U159" s="176"/>
      <c r="V159" s="88"/>
      <c r="W159" s="88"/>
      <c r="X159" s="177"/>
      <c r="Y159" s="177"/>
      <c r="Z159" s="177"/>
      <c r="AA159" s="177"/>
    </row>
    <row r="160" customHeight="1" spans="1:27">
      <c r="A160" s="157" t="s">
        <v>331</v>
      </c>
      <c r="B160" s="77"/>
      <c r="C160" s="157"/>
      <c r="D160" s="77">
        <v>3300000</v>
      </c>
      <c r="E160" s="117">
        <v>6500000</v>
      </c>
      <c r="F160" s="118">
        <v>3250</v>
      </c>
      <c r="G160" s="119">
        <v>8000000</v>
      </c>
      <c r="H160" s="118">
        <v>40000</v>
      </c>
      <c r="I160" s="77"/>
      <c r="J160" s="136"/>
      <c r="K160" s="77"/>
      <c r="L160" s="136"/>
      <c r="M160" s="77"/>
      <c r="N160" s="136"/>
      <c r="O160" s="157"/>
      <c r="P160" s="75"/>
      <c r="Q160" s="157"/>
      <c r="R160" s="156"/>
      <c r="S160" s="156"/>
      <c r="T160" s="88"/>
      <c r="U160" s="176"/>
      <c r="V160" s="88"/>
      <c r="W160" s="88"/>
      <c r="X160" s="177"/>
      <c r="Y160" s="177"/>
      <c r="Z160" s="177"/>
      <c r="AA160" s="177"/>
    </row>
    <row r="161" customHeight="1" spans="1:27">
      <c r="A161" s="157" t="s">
        <v>332</v>
      </c>
      <c r="B161" s="77"/>
      <c r="C161" s="157"/>
      <c r="D161" s="77">
        <v>8700000</v>
      </c>
      <c r="E161" s="117">
        <v>13000000</v>
      </c>
      <c r="F161" s="118">
        <v>6500</v>
      </c>
      <c r="G161" s="119">
        <v>15000000</v>
      </c>
      <c r="H161" s="118">
        <v>7500</v>
      </c>
      <c r="I161" s="77"/>
      <c r="J161" s="136"/>
      <c r="K161" s="77"/>
      <c r="L161" s="136"/>
      <c r="M161" s="77"/>
      <c r="N161" s="136"/>
      <c r="O161" s="157"/>
      <c r="P161" s="75"/>
      <c r="Q161" s="157"/>
      <c r="R161" s="156"/>
      <c r="S161" s="156"/>
      <c r="T161" s="88"/>
      <c r="U161" s="176"/>
      <c r="V161" s="88"/>
      <c r="W161" s="88"/>
      <c r="X161" s="177"/>
      <c r="Y161" s="177"/>
      <c r="Z161" s="177"/>
      <c r="AA161" s="177"/>
    </row>
    <row r="162" customHeight="1" spans="1:27">
      <c r="A162" s="157" t="s">
        <v>333</v>
      </c>
      <c r="B162" s="77"/>
      <c r="C162" s="157"/>
      <c r="D162" s="77">
        <v>3300000</v>
      </c>
      <c r="E162" s="117">
        <v>6500000</v>
      </c>
      <c r="F162" s="118">
        <v>3250</v>
      </c>
      <c r="G162" s="119">
        <v>8000000</v>
      </c>
      <c r="H162" s="118">
        <v>4000</v>
      </c>
      <c r="I162" s="77"/>
      <c r="J162" s="136"/>
      <c r="K162" s="77"/>
      <c r="L162" s="136"/>
      <c r="M162" s="77"/>
      <c r="N162" s="136"/>
      <c r="O162" s="157"/>
      <c r="P162" s="75"/>
      <c r="Q162" s="157"/>
      <c r="R162" s="156"/>
      <c r="S162" s="156"/>
      <c r="T162" s="88"/>
      <c r="U162" s="176"/>
      <c r="V162" s="88"/>
      <c r="W162" s="88"/>
      <c r="X162" s="177"/>
      <c r="Y162" s="177"/>
      <c r="Z162" s="177"/>
      <c r="AA162" s="177"/>
    </row>
    <row r="163" customHeight="1" spans="1:27">
      <c r="A163" s="157" t="s">
        <v>334</v>
      </c>
      <c r="B163" s="77"/>
      <c r="C163" s="157"/>
      <c r="D163" s="77">
        <v>8700000</v>
      </c>
      <c r="E163" s="117">
        <v>13000000</v>
      </c>
      <c r="F163" s="118">
        <v>6500</v>
      </c>
      <c r="G163" s="119">
        <v>15000000</v>
      </c>
      <c r="H163" s="118">
        <v>7500</v>
      </c>
      <c r="I163" s="77"/>
      <c r="J163" s="136"/>
      <c r="K163" s="77"/>
      <c r="L163" s="136"/>
      <c r="M163" s="77"/>
      <c r="N163" s="136"/>
      <c r="O163" s="157"/>
      <c r="P163" s="75"/>
      <c r="Q163" s="157"/>
      <c r="R163" s="156"/>
      <c r="S163" s="156"/>
      <c r="T163" s="88"/>
      <c r="U163" s="176"/>
      <c r="V163" s="88"/>
      <c r="W163" s="88"/>
      <c r="X163" s="177"/>
      <c r="Y163" s="177"/>
      <c r="Z163" s="177"/>
      <c r="AA163" s="177"/>
    </row>
    <row r="164" customHeight="1" spans="1:27">
      <c r="A164" s="200" t="s">
        <v>335</v>
      </c>
      <c r="B164" s="77"/>
      <c r="C164" s="157"/>
      <c r="D164" s="77">
        <v>25000000</v>
      </c>
      <c r="E164" s="117">
        <v>60000000</v>
      </c>
      <c r="F164" s="118">
        <v>30000</v>
      </c>
      <c r="G164" s="119">
        <v>70000000</v>
      </c>
      <c r="H164" s="118">
        <v>35000</v>
      </c>
      <c r="I164" s="77"/>
      <c r="J164" s="136"/>
      <c r="K164" s="77"/>
      <c r="L164" s="136"/>
      <c r="M164" s="77"/>
      <c r="N164" s="136"/>
      <c r="O164" s="157"/>
      <c r="P164" s="75"/>
      <c r="Q164" s="157"/>
      <c r="R164" s="156"/>
      <c r="S164" s="156"/>
      <c r="T164" s="88"/>
      <c r="U164" s="176"/>
      <c r="V164" s="88"/>
      <c r="W164" s="88"/>
      <c r="X164" s="177"/>
      <c r="Y164" s="177"/>
      <c r="Z164" s="177"/>
      <c r="AA164" s="177"/>
    </row>
    <row r="165" customHeight="1" spans="1:27">
      <c r="A165" s="200" t="s">
        <v>336</v>
      </c>
      <c r="B165" s="77"/>
      <c r="C165" s="157"/>
      <c r="D165" s="77"/>
      <c r="E165" s="117"/>
      <c r="F165" s="118"/>
      <c r="G165" s="119"/>
      <c r="H165" s="118"/>
      <c r="I165" s="77"/>
      <c r="J165" s="136"/>
      <c r="K165" s="77"/>
      <c r="L165" s="136"/>
      <c r="M165" s="77"/>
      <c r="N165" s="136"/>
      <c r="O165" s="157" t="s">
        <v>337</v>
      </c>
      <c r="P165" s="75"/>
      <c r="Q165" s="157"/>
      <c r="R165" s="156"/>
      <c r="S165" s="156"/>
      <c r="T165" s="88"/>
      <c r="U165" s="176"/>
      <c r="V165" s="88"/>
      <c r="W165" s="88"/>
      <c r="X165" s="177"/>
      <c r="Y165" s="177"/>
      <c r="Z165" s="177"/>
      <c r="AA165" s="177"/>
    </row>
    <row r="166" customHeight="1" spans="1:27">
      <c r="A166" s="200" t="s">
        <v>338</v>
      </c>
      <c r="B166" s="77"/>
      <c r="C166" s="157"/>
      <c r="D166" s="77"/>
      <c r="E166" s="117"/>
      <c r="F166" s="118"/>
      <c r="G166" s="119"/>
      <c r="H166" s="118"/>
      <c r="I166" s="77"/>
      <c r="J166" s="136"/>
      <c r="K166" s="77"/>
      <c r="L166" s="136"/>
      <c r="M166" s="77"/>
      <c r="N166" s="136"/>
      <c r="O166" s="157" t="s">
        <v>339</v>
      </c>
      <c r="P166" s="75"/>
      <c r="Q166" s="157"/>
      <c r="R166" s="156"/>
      <c r="S166" s="156"/>
      <c r="T166" s="88"/>
      <c r="U166" s="176"/>
      <c r="V166" s="88"/>
      <c r="W166" s="88"/>
      <c r="X166" s="177"/>
      <c r="Y166" s="177"/>
      <c r="Z166" s="177"/>
      <c r="AA166" s="177"/>
    </row>
    <row r="167" customHeight="1" spans="1:27">
      <c r="A167" s="200" t="s">
        <v>340</v>
      </c>
      <c r="B167" s="77"/>
      <c r="C167" s="157"/>
      <c r="D167" s="77"/>
      <c r="E167" s="117"/>
      <c r="F167" s="118"/>
      <c r="G167" s="119"/>
      <c r="H167" s="118"/>
      <c r="I167" s="77"/>
      <c r="J167" s="136"/>
      <c r="K167" s="77"/>
      <c r="L167" s="136"/>
      <c r="M167" s="77"/>
      <c r="N167" s="136"/>
      <c r="O167" s="157" t="s">
        <v>341</v>
      </c>
      <c r="P167" s="75"/>
      <c r="Q167" s="157"/>
      <c r="R167" s="156"/>
      <c r="S167" s="156"/>
      <c r="T167" s="88"/>
      <c r="U167" s="176"/>
      <c r="V167" s="88"/>
      <c r="W167" s="88"/>
      <c r="X167" s="177"/>
      <c r="Y167" s="177"/>
      <c r="Z167" s="177"/>
      <c r="AA167" s="177"/>
    </row>
    <row r="168" customHeight="1" spans="1:27">
      <c r="A168" s="157" t="s">
        <v>342</v>
      </c>
      <c r="B168" s="77"/>
      <c r="C168" s="157"/>
      <c r="D168" s="77">
        <v>30800000</v>
      </c>
      <c r="E168" s="117">
        <v>60000000</v>
      </c>
      <c r="F168" s="118">
        <v>30000</v>
      </c>
      <c r="G168" s="119">
        <v>70000000</v>
      </c>
      <c r="H168" s="118">
        <v>35000</v>
      </c>
      <c r="I168" s="77"/>
      <c r="J168" s="136"/>
      <c r="K168" s="77"/>
      <c r="L168" s="136"/>
      <c r="M168" s="77"/>
      <c r="N168" s="136"/>
      <c r="O168" s="157" t="s">
        <v>343</v>
      </c>
      <c r="P168" s="75"/>
      <c r="Q168" s="157"/>
      <c r="R168" s="156"/>
      <c r="S168" s="156"/>
      <c r="T168" s="88"/>
      <c r="U168" s="176"/>
      <c r="V168" s="88"/>
      <c r="W168" s="88"/>
      <c r="X168" s="177"/>
      <c r="Y168" s="177"/>
      <c r="Z168" s="177"/>
      <c r="AA168" s="177"/>
    </row>
    <row r="169" customHeight="1" spans="1:27">
      <c r="A169" s="157" t="s">
        <v>344</v>
      </c>
      <c r="B169" s="77"/>
      <c r="C169" s="157"/>
      <c r="D169" s="77">
        <v>65000000</v>
      </c>
      <c r="E169" s="117"/>
      <c r="F169" s="118"/>
      <c r="G169" s="119"/>
      <c r="H169" s="118"/>
      <c r="I169" s="77"/>
      <c r="J169" s="136"/>
      <c r="K169" s="77"/>
      <c r="L169" s="136"/>
      <c r="M169" s="77"/>
      <c r="N169" s="136"/>
      <c r="O169" s="157"/>
      <c r="P169" s="75"/>
      <c r="Q169" s="157"/>
      <c r="R169" s="156"/>
      <c r="S169" s="156"/>
      <c r="T169" s="88"/>
      <c r="U169" s="176"/>
      <c r="V169" s="88"/>
      <c r="W169" s="88"/>
      <c r="X169" s="177"/>
      <c r="Y169" s="177"/>
      <c r="Z169" s="177"/>
      <c r="AA169" s="177"/>
    </row>
    <row r="170" customHeight="1" spans="1:27">
      <c r="A170" s="157" t="s">
        <v>345</v>
      </c>
      <c r="B170" s="77"/>
      <c r="C170" s="157"/>
      <c r="D170" s="77">
        <v>15000000</v>
      </c>
      <c r="E170" s="117"/>
      <c r="F170" s="118"/>
      <c r="G170" s="119"/>
      <c r="H170" s="118"/>
      <c r="I170" s="77"/>
      <c r="J170" s="136"/>
      <c r="K170" s="77"/>
      <c r="L170" s="136"/>
      <c r="M170" s="77"/>
      <c r="N170" s="136"/>
      <c r="O170" s="157"/>
      <c r="P170" s="75"/>
      <c r="Q170" s="157"/>
      <c r="R170" s="156"/>
      <c r="S170" s="156"/>
      <c r="T170" s="88"/>
      <c r="U170" s="176"/>
      <c r="V170" s="88"/>
      <c r="W170" s="88"/>
      <c r="X170" s="177"/>
      <c r="Y170" s="177"/>
      <c r="Z170" s="177"/>
      <c r="AA170" s="177"/>
    </row>
    <row r="171" customHeight="1" spans="1:27">
      <c r="A171" s="157" t="s">
        <v>346</v>
      </c>
      <c r="B171" s="77"/>
      <c r="C171" s="157"/>
      <c r="D171" s="77">
        <v>55000000</v>
      </c>
      <c r="E171" s="117"/>
      <c r="F171" s="118"/>
      <c r="G171" s="119"/>
      <c r="H171" s="118"/>
      <c r="I171" s="77"/>
      <c r="J171" s="136"/>
      <c r="K171" s="77"/>
      <c r="L171" s="136"/>
      <c r="M171" s="77"/>
      <c r="N171" s="136"/>
      <c r="O171" s="157"/>
      <c r="P171" s="75"/>
      <c r="Q171" s="157"/>
      <c r="R171" s="156"/>
      <c r="S171" s="156"/>
      <c r="T171" s="88"/>
      <c r="U171" s="176"/>
      <c r="V171" s="88"/>
      <c r="W171" s="88"/>
      <c r="X171" s="177"/>
      <c r="Y171" s="177"/>
      <c r="Z171" s="177"/>
      <c r="AA171" s="177"/>
    </row>
    <row r="172" customHeight="1" spans="1:27">
      <c r="A172" s="157" t="s">
        <v>347</v>
      </c>
      <c r="B172" s="77" t="s">
        <v>293</v>
      </c>
      <c r="C172" s="157" t="s">
        <v>348</v>
      </c>
      <c r="D172" s="77">
        <v>3000000</v>
      </c>
      <c r="E172" s="117">
        <v>4000000</v>
      </c>
      <c r="F172" s="118">
        <f t="shared" ref="F172:F173" si="168">E172/2000</f>
        <v>2000</v>
      </c>
      <c r="G172" s="119">
        <v>5000000</v>
      </c>
      <c r="H172" s="118">
        <f t="shared" ref="H172:H173" si="169">G172/2000</f>
        <v>2500</v>
      </c>
      <c r="I172" s="77">
        <f t="shared" ref="I172:I173" si="170">G172-E172</f>
        <v>1000000</v>
      </c>
      <c r="J172" s="136">
        <f t="shared" ref="J172:J173" si="171">I172/E172</f>
        <v>0.25</v>
      </c>
      <c r="K172" s="77">
        <f t="shared" ref="K172:K173" si="172">E172-D172</f>
        <v>1000000</v>
      </c>
      <c r="L172" s="136">
        <f t="shared" ref="L172:L173" si="173">K172/D172</f>
        <v>0.333333333333333</v>
      </c>
      <c r="M172" s="77">
        <f t="shared" ref="M172:M173" si="174">G172-D172</f>
        <v>2000000</v>
      </c>
      <c r="N172" s="136">
        <f t="shared" ref="N172:N173" si="175">M172/D172</f>
        <v>0.666666666666667</v>
      </c>
      <c r="O172" s="157" t="s">
        <v>349</v>
      </c>
      <c r="P172" s="75"/>
      <c r="Q172" s="157"/>
      <c r="R172" s="156"/>
      <c r="S172" s="156"/>
      <c r="T172" s="77">
        <f t="shared" ref="T172:T173" si="176">D172*S172</f>
        <v>0</v>
      </c>
      <c r="U172" s="176">
        <f t="shared" ref="U172:U173" si="177">T172/2200</f>
        <v>0</v>
      </c>
      <c r="V172" s="88"/>
      <c r="W172" s="88"/>
      <c r="X172" s="177"/>
      <c r="Y172" s="177"/>
      <c r="Z172" s="177"/>
      <c r="AA172" s="177"/>
    </row>
    <row r="173" customHeight="1" spans="1:27">
      <c r="A173" s="157" t="s">
        <v>350</v>
      </c>
      <c r="B173" s="77" t="s">
        <v>293</v>
      </c>
      <c r="C173" s="157" t="s">
        <v>348</v>
      </c>
      <c r="D173" s="77">
        <v>2000000</v>
      </c>
      <c r="E173" s="117">
        <v>5000000</v>
      </c>
      <c r="F173" s="118">
        <f t="shared" si="168"/>
        <v>2500</v>
      </c>
      <c r="G173" s="119">
        <v>6000000</v>
      </c>
      <c r="H173" s="118">
        <f t="shared" si="169"/>
        <v>3000</v>
      </c>
      <c r="I173" s="77">
        <f t="shared" si="170"/>
        <v>1000000</v>
      </c>
      <c r="J173" s="136">
        <f t="shared" si="171"/>
        <v>0.2</v>
      </c>
      <c r="K173" s="77">
        <f t="shared" si="172"/>
        <v>3000000</v>
      </c>
      <c r="L173" s="136">
        <f t="shared" si="173"/>
        <v>1.5</v>
      </c>
      <c r="M173" s="77">
        <f t="shared" si="174"/>
        <v>4000000</v>
      </c>
      <c r="N173" s="136">
        <f t="shared" si="175"/>
        <v>2</v>
      </c>
      <c r="O173" s="157"/>
      <c r="P173" s="75"/>
      <c r="Q173" s="157"/>
      <c r="R173" s="156"/>
      <c r="S173" s="156"/>
      <c r="T173" s="77">
        <f t="shared" si="176"/>
        <v>0</v>
      </c>
      <c r="U173" s="176">
        <f t="shared" si="177"/>
        <v>0</v>
      </c>
      <c r="V173" s="88"/>
      <c r="W173" s="88"/>
      <c r="X173" s="177"/>
      <c r="Y173" s="177"/>
      <c r="Z173" s="177"/>
      <c r="AA173" s="177"/>
    </row>
    <row r="174" ht="12" customHeight="1" spans="1:27">
      <c r="A174" s="87"/>
      <c r="B174" s="87"/>
      <c r="C174" s="87"/>
      <c r="D174" s="87"/>
      <c r="E174" s="203"/>
      <c r="F174" s="87"/>
      <c r="G174" s="204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155"/>
      <c r="S174" s="156"/>
      <c r="T174" s="157"/>
      <c r="U174" s="173"/>
      <c r="V174" s="157"/>
      <c r="W174" s="157"/>
      <c r="X174" s="87"/>
      <c r="Y174" s="87"/>
      <c r="Z174" s="87"/>
      <c r="AA174" s="87"/>
    </row>
    <row r="175" ht="12" customHeight="1" spans="1:27">
      <c r="A175" s="87"/>
      <c r="B175" s="87"/>
      <c r="C175" s="87"/>
      <c r="D175" s="87"/>
      <c r="E175" s="203"/>
      <c r="F175" s="87"/>
      <c r="G175" s="204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155"/>
      <c r="S175" s="156"/>
      <c r="T175" s="157"/>
      <c r="U175" s="173"/>
      <c r="V175" s="157"/>
      <c r="W175" s="157"/>
      <c r="X175" s="87"/>
      <c r="Y175" s="87"/>
      <c r="Z175" s="87"/>
      <c r="AA175" s="87"/>
    </row>
    <row r="176" ht="12" customHeight="1" spans="1:27">
      <c r="A176" s="87" t="s">
        <v>351</v>
      </c>
      <c r="B176" s="87"/>
      <c r="C176" s="87"/>
      <c r="D176" s="87"/>
      <c r="E176" s="203"/>
      <c r="F176" s="87"/>
      <c r="G176" s="204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155"/>
      <c r="S176" s="156"/>
      <c r="T176" s="157"/>
      <c r="U176" s="173"/>
      <c r="V176" s="157"/>
      <c r="W176" s="157"/>
      <c r="X176" s="87"/>
      <c r="Y176" s="87"/>
      <c r="Z176" s="87"/>
      <c r="AA176" s="87"/>
    </row>
    <row r="177" ht="12" customHeight="1" spans="1:27">
      <c r="A177" s="87"/>
      <c r="B177" s="87"/>
      <c r="C177" s="87"/>
      <c r="D177" s="87"/>
      <c r="E177" s="203"/>
      <c r="F177" s="87"/>
      <c r="G177" s="204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155"/>
      <c r="S177" s="156"/>
      <c r="T177" s="157"/>
      <c r="U177" s="173"/>
      <c r="V177" s="157"/>
      <c r="W177" s="157"/>
      <c r="X177" s="87"/>
      <c r="Y177" s="87"/>
      <c r="Z177" s="87"/>
      <c r="AA177" s="87"/>
    </row>
    <row r="178" ht="12" customHeight="1" spans="1:27">
      <c r="A178" s="87" t="s">
        <v>352</v>
      </c>
      <c r="B178" s="87"/>
      <c r="C178" s="87"/>
      <c r="D178" s="87"/>
      <c r="E178" s="203"/>
      <c r="F178" s="87"/>
      <c r="G178" s="204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155"/>
      <c r="S178" s="156"/>
      <c r="T178" s="157"/>
      <c r="U178" s="173"/>
      <c r="V178" s="157"/>
      <c r="W178" s="157"/>
      <c r="X178" s="87"/>
      <c r="Y178" s="87"/>
      <c r="Z178" s="87"/>
      <c r="AA178" s="87"/>
    </row>
    <row r="179" ht="12" customHeight="1" spans="1:27">
      <c r="A179" s="87"/>
      <c r="B179" s="87"/>
      <c r="C179" s="87"/>
      <c r="D179" s="87"/>
      <c r="E179" s="203"/>
      <c r="F179" s="87"/>
      <c r="G179" s="204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155"/>
      <c r="S179" s="156"/>
      <c r="T179" s="157"/>
      <c r="U179" s="173"/>
      <c r="V179" s="157"/>
      <c r="W179" s="157"/>
      <c r="X179" s="87"/>
      <c r="Y179" s="87"/>
      <c r="Z179" s="87"/>
      <c r="AA179" s="87"/>
    </row>
    <row r="180" ht="12" customHeight="1" spans="1:27">
      <c r="A180" s="87"/>
      <c r="B180" s="87"/>
      <c r="C180" s="87"/>
      <c r="D180" s="87"/>
      <c r="E180" s="203"/>
      <c r="F180" s="87"/>
      <c r="G180" s="204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155"/>
      <c r="S180" s="156"/>
      <c r="T180" s="157"/>
      <c r="U180" s="173"/>
      <c r="V180" s="157"/>
      <c r="W180" s="157"/>
      <c r="X180" s="87"/>
      <c r="Y180" s="87"/>
      <c r="Z180" s="87"/>
      <c r="AA180" s="87"/>
    </row>
    <row r="181" ht="12" customHeight="1" spans="1:27">
      <c r="A181" s="87"/>
      <c r="B181" s="87"/>
      <c r="C181" s="87"/>
      <c r="D181" s="87"/>
      <c r="E181" s="203"/>
      <c r="F181" s="87"/>
      <c r="G181" s="204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155"/>
      <c r="S181" s="156"/>
      <c r="T181" s="157"/>
      <c r="U181" s="173"/>
      <c r="V181" s="157"/>
      <c r="W181" s="157"/>
      <c r="X181" s="87"/>
      <c r="Y181" s="87"/>
      <c r="Z181" s="87"/>
      <c r="AA181" s="87"/>
    </row>
    <row r="182" ht="12" customHeight="1" spans="1:27">
      <c r="A182" s="87"/>
      <c r="B182" s="87"/>
      <c r="C182" s="87"/>
      <c r="D182" s="87"/>
      <c r="E182" s="203"/>
      <c r="F182" s="87"/>
      <c r="G182" s="204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155"/>
      <c r="S182" s="156"/>
      <c r="T182" s="157"/>
      <c r="U182" s="173"/>
      <c r="V182" s="157"/>
      <c r="W182" s="157"/>
      <c r="X182" s="87"/>
      <c r="Y182" s="87"/>
      <c r="Z182" s="87"/>
      <c r="AA182" s="87"/>
    </row>
    <row r="183" ht="12" customHeight="1" spans="1:27">
      <c r="A183" s="87"/>
      <c r="B183" s="87"/>
      <c r="C183" s="87"/>
      <c r="D183" s="87"/>
      <c r="E183" s="203"/>
      <c r="F183" s="87"/>
      <c r="G183" s="204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155"/>
      <c r="S183" s="156"/>
      <c r="T183" s="157"/>
      <c r="U183" s="173"/>
      <c r="V183" s="157"/>
      <c r="W183" s="157"/>
      <c r="X183" s="87"/>
      <c r="Y183" s="87"/>
      <c r="Z183" s="87"/>
      <c r="AA183" s="87"/>
    </row>
    <row r="184" ht="12" customHeight="1" spans="1:27">
      <c r="A184" s="87"/>
      <c r="B184" s="87"/>
      <c r="C184" s="87"/>
      <c r="D184" s="87"/>
      <c r="E184" s="203"/>
      <c r="F184" s="87"/>
      <c r="G184" s="204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155"/>
      <c r="S184" s="156"/>
      <c r="T184" s="157"/>
      <c r="U184" s="173"/>
      <c r="V184" s="157"/>
      <c r="W184" s="157"/>
      <c r="X184" s="87"/>
      <c r="Y184" s="87"/>
      <c r="Z184" s="87"/>
      <c r="AA184" s="87"/>
    </row>
    <row r="185" ht="12" customHeight="1" spans="1:27">
      <c r="A185" s="87"/>
      <c r="B185" s="87"/>
      <c r="C185" s="87"/>
      <c r="D185" s="87"/>
      <c r="E185" s="203"/>
      <c r="F185" s="87"/>
      <c r="G185" s="204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155"/>
      <c r="S185" s="156"/>
      <c r="T185" s="157"/>
      <c r="U185" s="173"/>
      <c r="V185" s="157"/>
      <c r="W185" s="157"/>
      <c r="X185" s="87"/>
      <c r="Y185" s="87"/>
      <c r="Z185" s="87"/>
      <c r="AA185" s="87"/>
    </row>
    <row r="186" ht="12" customHeight="1" spans="1:27">
      <c r="A186" s="87"/>
      <c r="B186" s="87"/>
      <c r="C186" s="87"/>
      <c r="D186" s="87"/>
      <c r="E186" s="203"/>
      <c r="F186" s="87"/>
      <c r="G186" s="204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155"/>
      <c r="S186" s="156"/>
      <c r="T186" s="157"/>
      <c r="U186" s="173"/>
      <c r="V186" s="157"/>
      <c r="W186" s="157"/>
      <c r="X186" s="87"/>
      <c r="Y186" s="87"/>
      <c r="Z186" s="87"/>
      <c r="AA186" s="87"/>
    </row>
    <row r="187" ht="12" customHeight="1" spans="1:27">
      <c r="A187" s="87"/>
      <c r="B187" s="87"/>
      <c r="C187" s="87"/>
      <c r="D187" s="87"/>
      <c r="E187" s="203"/>
      <c r="F187" s="87"/>
      <c r="G187" s="204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155"/>
      <c r="S187" s="156"/>
      <c r="T187" s="157"/>
      <c r="U187" s="173"/>
      <c r="V187" s="157"/>
      <c r="W187" s="157"/>
      <c r="X187" s="87"/>
      <c r="Y187" s="87"/>
      <c r="Z187" s="87"/>
      <c r="AA187" s="87"/>
    </row>
    <row r="188" ht="12" customHeight="1" spans="1:27">
      <c r="A188" s="87"/>
      <c r="B188" s="87"/>
      <c r="C188" s="87"/>
      <c r="D188" s="87"/>
      <c r="E188" s="203"/>
      <c r="F188" s="87"/>
      <c r="G188" s="204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155"/>
      <c r="S188" s="156"/>
      <c r="T188" s="157"/>
      <c r="U188" s="173"/>
      <c r="V188" s="157"/>
      <c r="W188" s="157"/>
      <c r="X188" s="87"/>
      <c r="Y188" s="87"/>
      <c r="Z188" s="87"/>
      <c r="AA188" s="87"/>
    </row>
    <row r="189" ht="12" customHeight="1" spans="1:27">
      <c r="A189" s="87"/>
      <c r="B189" s="87"/>
      <c r="C189" s="87"/>
      <c r="D189" s="87"/>
      <c r="E189" s="203"/>
      <c r="F189" s="87"/>
      <c r="G189" s="204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155"/>
      <c r="S189" s="156"/>
      <c r="T189" s="157"/>
      <c r="U189" s="173"/>
      <c r="V189" s="157"/>
      <c r="W189" s="157"/>
      <c r="X189" s="87"/>
      <c r="Y189" s="87"/>
      <c r="Z189" s="87"/>
      <c r="AA189" s="87"/>
    </row>
    <row r="190" ht="12" customHeight="1" spans="1:27">
      <c r="A190" s="87"/>
      <c r="B190" s="87"/>
      <c r="C190" s="87"/>
      <c r="D190" s="87"/>
      <c r="E190" s="203"/>
      <c r="F190" s="87"/>
      <c r="G190" s="204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155"/>
      <c r="S190" s="156"/>
      <c r="T190" s="157"/>
      <c r="U190" s="173"/>
      <c r="V190" s="157"/>
      <c r="W190" s="157"/>
      <c r="X190" s="87"/>
      <c r="Y190" s="87"/>
      <c r="Z190" s="87"/>
      <c r="AA190" s="87"/>
    </row>
    <row r="191" ht="12" customHeight="1" spans="1:27">
      <c r="A191" s="87"/>
      <c r="B191" s="87"/>
      <c r="C191" s="87"/>
      <c r="D191" s="87"/>
      <c r="E191" s="203"/>
      <c r="F191" s="87"/>
      <c r="G191" s="204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155"/>
      <c r="S191" s="156"/>
      <c r="T191" s="157"/>
      <c r="U191" s="173"/>
      <c r="V191" s="157"/>
      <c r="W191" s="157"/>
      <c r="X191" s="87"/>
      <c r="Y191" s="87"/>
      <c r="Z191" s="87"/>
      <c r="AA191" s="87"/>
    </row>
    <row r="192" ht="12" customHeight="1" spans="1:27">
      <c r="A192" s="87"/>
      <c r="B192" s="87"/>
      <c r="C192" s="87"/>
      <c r="D192" s="87"/>
      <c r="E192" s="203"/>
      <c r="F192" s="87"/>
      <c r="G192" s="204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155"/>
      <c r="S192" s="156"/>
      <c r="T192" s="157"/>
      <c r="U192" s="173"/>
      <c r="V192" s="157"/>
      <c r="W192" s="157"/>
      <c r="X192" s="87"/>
      <c r="Y192" s="87"/>
      <c r="Z192" s="87"/>
      <c r="AA192" s="87"/>
    </row>
    <row r="193" ht="12" customHeight="1" spans="1:27">
      <c r="A193" s="87"/>
      <c r="B193" s="87"/>
      <c r="C193" s="87"/>
      <c r="D193" s="87"/>
      <c r="E193" s="203"/>
      <c r="F193" s="87"/>
      <c r="G193" s="204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155"/>
      <c r="S193" s="156"/>
      <c r="T193" s="157"/>
      <c r="U193" s="173"/>
      <c r="V193" s="157"/>
      <c r="W193" s="157"/>
      <c r="X193" s="87"/>
      <c r="Y193" s="87"/>
      <c r="Z193" s="87"/>
      <c r="AA193" s="87"/>
    </row>
    <row r="194" ht="12" customHeight="1" spans="1:27">
      <c r="A194" s="87"/>
      <c r="B194" s="87"/>
      <c r="C194" s="87"/>
      <c r="D194" s="87"/>
      <c r="E194" s="203"/>
      <c r="F194" s="87"/>
      <c r="G194" s="204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155"/>
      <c r="S194" s="156"/>
      <c r="T194" s="157"/>
      <c r="U194" s="173"/>
      <c r="V194" s="157"/>
      <c r="W194" s="157"/>
      <c r="X194" s="87"/>
      <c r="Y194" s="87"/>
      <c r="Z194" s="87"/>
      <c r="AA194" s="87"/>
    </row>
    <row r="195" ht="12" customHeight="1" spans="1:27">
      <c r="A195" s="87"/>
      <c r="B195" s="87"/>
      <c r="C195" s="87"/>
      <c r="D195" s="87"/>
      <c r="E195" s="203"/>
      <c r="F195" s="87"/>
      <c r="G195" s="204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155"/>
      <c r="S195" s="156"/>
      <c r="T195" s="157"/>
      <c r="U195" s="173"/>
      <c r="V195" s="157"/>
      <c r="W195" s="157"/>
      <c r="X195" s="87"/>
      <c r="Y195" s="87"/>
      <c r="Z195" s="87"/>
      <c r="AA195" s="87"/>
    </row>
    <row r="196" ht="12" customHeight="1" spans="1:27">
      <c r="A196" s="87"/>
      <c r="B196" s="87"/>
      <c r="C196" s="87"/>
      <c r="D196" s="87"/>
      <c r="E196" s="203"/>
      <c r="F196" s="87"/>
      <c r="G196" s="204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155"/>
      <c r="S196" s="156"/>
      <c r="T196" s="157"/>
      <c r="U196" s="173"/>
      <c r="V196" s="157"/>
      <c r="W196" s="157"/>
      <c r="X196" s="87"/>
      <c r="Y196" s="87"/>
      <c r="Z196" s="87"/>
      <c r="AA196" s="87"/>
    </row>
    <row r="197" ht="12" customHeight="1" spans="1:27">
      <c r="A197" s="87"/>
      <c r="B197" s="87"/>
      <c r="C197" s="87"/>
      <c r="D197" s="87"/>
      <c r="E197" s="203"/>
      <c r="F197" s="87"/>
      <c r="G197" s="204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155"/>
      <c r="S197" s="156"/>
      <c r="T197" s="157"/>
      <c r="U197" s="173"/>
      <c r="V197" s="157"/>
      <c r="W197" s="157"/>
      <c r="X197" s="87"/>
      <c r="Y197" s="87"/>
      <c r="Z197" s="87"/>
      <c r="AA197" s="87"/>
    </row>
    <row r="198" ht="12" customHeight="1" spans="1:27">
      <c r="A198" s="87"/>
      <c r="B198" s="87"/>
      <c r="C198" s="87"/>
      <c r="D198" s="87"/>
      <c r="E198" s="203"/>
      <c r="F198" s="87"/>
      <c r="G198" s="204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155"/>
      <c r="S198" s="156"/>
      <c r="T198" s="157"/>
      <c r="U198" s="173"/>
      <c r="V198" s="157"/>
      <c r="W198" s="157"/>
      <c r="X198" s="87"/>
      <c r="Y198" s="87"/>
      <c r="Z198" s="87"/>
      <c r="AA198" s="87"/>
    </row>
    <row r="199" ht="12" customHeight="1" spans="1:27">
      <c r="A199" s="87"/>
      <c r="B199" s="87"/>
      <c r="C199" s="87"/>
      <c r="D199" s="87"/>
      <c r="E199" s="203"/>
      <c r="F199" s="87"/>
      <c r="G199" s="204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155"/>
      <c r="S199" s="156"/>
      <c r="T199" s="157"/>
      <c r="U199" s="173"/>
      <c r="V199" s="157"/>
      <c r="W199" s="157"/>
      <c r="X199" s="87"/>
      <c r="Y199" s="87"/>
      <c r="Z199" s="87"/>
      <c r="AA199" s="87"/>
    </row>
    <row r="200" ht="12" customHeight="1" spans="1:27">
      <c r="A200" s="87"/>
      <c r="B200" s="87"/>
      <c r="C200" s="87"/>
      <c r="D200" s="87"/>
      <c r="E200" s="203"/>
      <c r="F200" s="87"/>
      <c r="G200" s="204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155"/>
      <c r="S200" s="156"/>
      <c r="T200" s="157"/>
      <c r="U200" s="173"/>
      <c r="V200" s="157"/>
      <c r="W200" s="157"/>
      <c r="X200" s="87"/>
      <c r="Y200" s="87"/>
      <c r="Z200" s="87"/>
      <c r="AA200" s="87"/>
    </row>
    <row r="201" ht="12" customHeight="1" spans="1:27">
      <c r="A201" s="87"/>
      <c r="B201" s="87"/>
      <c r="C201" s="87"/>
      <c r="D201" s="87"/>
      <c r="E201" s="203"/>
      <c r="F201" s="87"/>
      <c r="G201" s="204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155"/>
      <c r="S201" s="156"/>
      <c r="T201" s="157"/>
      <c r="U201" s="173"/>
      <c r="V201" s="157"/>
      <c r="W201" s="157"/>
      <c r="X201" s="87"/>
      <c r="Y201" s="87"/>
      <c r="Z201" s="87"/>
      <c r="AA201" s="87"/>
    </row>
    <row r="202" ht="12" customHeight="1" spans="1:27">
      <c r="A202" s="87"/>
      <c r="B202" s="87"/>
      <c r="C202" s="87"/>
      <c r="D202" s="87"/>
      <c r="E202" s="203"/>
      <c r="F202" s="87"/>
      <c r="G202" s="204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155"/>
      <c r="S202" s="156"/>
      <c r="T202" s="157"/>
      <c r="U202" s="173"/>
      <c r="V202" s="157"/>
      <c r="W202" s="157"/>
      <c r="X202" s="87"/>
      <c r="Y202" s="87"/>
      <c r="Z202" s="87"/>
      <c r="AA202" s="87"/>
    </row>
    <row r="203" ht="12" customHeight="1" spans="1:27">
      <c r="A203" s="87"/>
      <c r="B203" s="87"/>
      <c r="C203" s="87"/>
      <c r="D203" s="87"/>
      <c r="E203" s="203"/>
      <c r="F203" s="87"/>
      <c r="G203" s="204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155"/>
      <c r="S203" s="156"/>
      <c r="T203" s="157"/>
      <c r="U203" s="173"/>
      <c r="V203" s="157"/>
      <c r="W203" s="157"/>
      <c r="X203" s="87"/>
      <c r="Y203" s="87"/>
      <c r="Z203" s="87"/>
      <c r="AA203" s="87"/>
    </row>
    <row r="204" ht="12" customHeight="1" spans="1:27">
      <c r="A204" s="87"/>
      <c r="B204" s="87"/>
      <c r="C204" s="87"/>
      <c r="D204" s="87"/>
      <c r="E204" s="203"/>
      <c r="F204" s="87"/>
      <c r="G204" s="204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155"/>
      <c r="S204" s="156"/>
      <c r="T204" s="157"/>
      <c r="U204" s="173"/>
      <c r="V204" s="157"/>
      <c r="W204" s="157"/>
      <c r="X204" s="87"/>
      <c r="Y204" s="87"/>
      <c r="Z204" s="87"/>
      <c r="AA204" s="87"/>
    </row>
    <row r="205" ht="12" customHeight="1" spans="1:27">
      <c r="A205" s="87"/>
      <c r="B205" s="87"/>
      <c r="C205" s="87"/>
      <c r="D205" s="87"/>
      <c r="E205" s="203"/>
      <c r="F205" s="87"/>
      <c r="G205" s="204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155"/>
      <c r="S205" s="156"/>
      <c r="T205" s="157"/>
      <c r="U205" s="173"/>
      <c r="V205" s="157"/>
      <c r="W205" s="157"/>
      <c r="X205" s="87"/>
      <c r="Y205" s="87"/>
      <c r="Z205" s="87"/>
      <c r="AA205" s="87"/>
    </row>
    <row r="206" ht="12" customHeight="1" spans="1:27">
      <c r="A206" s="87"/>
      <c r="B206" s="87"/>
      <c r="C206" s="87"/>
      <c r="D206" s="87"/>
      <c r="E206" s="203"/>
      <c r="F206" s="87"/>
      <c r="G206" s="204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155"/>
      <c r="S206" s="156"/>
      <c r="T206" s="157"/>
      <c r="U206" s="173"/>
      <c r="V206" s="157"/>
      <c r="W206" s="157"/>
      <c r="X206" s="87"/>
      <c r="Y206" s="87"/>
      <c r="Z206" s="87"/>
      <c r="AA206" s="87"/>
    </row>
    <row r="207" ht="12" customHeight="1" spans="1:27">
      <c r="A207" s="87"/>
      <c r="B207" s="87"/>
      <c r="C207" s="87"/>
      <c r="D207" s="87"/>
      <c r="E207" s="203"/>
      <c r="F207" s="87"/>
      <c r="G207" s="204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155"/>
      <c r="S207" s="156"/>
      <c r="T207" s="157"/>
      <c r="U207" s="173"/>
      <c r="V207" s="157"/>
      <c r="W207" s="157"/>
      <c r="X207" s="87"/>
      <c r="Y207" s="87"/>
      <c r="Z207" s="87"/>
      <c r="AA207" s="87"/>
    </row>
    <row r="208" ht="12" customHeight="1" spans="1:27">
      <c r="A208" s="87"/>
      <c r="B208" s="87"/>
      <c r="C208" s="87"/>
      <c r="D208" s="87"/>
      <c r="E208" s="203"/>
      <c r="F208" s="87"/>
      <c r="G208" s="204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155"/>
      <c r="S208" s="156"/>
      <c r="T208" s="157"/>
      <c r="U208" s="173"/>
      <c r="V208" s="157"/>
      <c r="W208" s="157"/>
      <c r="X208" s="87"/>
      <c r="Y208" s="87"/>
      <c r="Z208" s="87"/>
      <c r="AA208" s="87"/>
    </row>
    <row r="209" ht="12" customHeight="1" spans="1:27">
      <c r="A209" s="87"/>
      <c r="B209" s="87"/>
      <c r="C209" s="87"/>
      <c r="D209" s="87"/>
      <c r="E209" s="203"/>
      <c r="F209" s="87"/>
      <c r="G209" s="204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155"/>
      <c r="S209" s="156"/>
      <c r="T209" s="157"/>
      <c r="U209" s="173"/>
      <c r="V209" s="157"/>
      <c r="W209" s="157"/>
      <c r="X209" s="87"/>
      <c r="Y209" s="87"/>
      <c r="Z209" s="87"/>
      <c r="AA209" s="87"/>
    </row>
    <row r="210" ht="12" customHeight="1" spans="1:27">
      <c r="A210" s="87"/>
      <c r="B210" s="87"/>
      <c r="C210" s="87"/>
      <c r="D210" s="87"/>
      <c r="E210" s="203"/>
      <c r="F210" s="87"/>
      <c r="G210" s="204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155"/>
      <c r="S210" s="156"/>
      <c r="T210" s="157"/>
      <c r="U210" s="173"/>
      <c r="V210" s="157"/>
      <c r="W210" s="157"/>
      <c r="X210" s="87"/>
      <c r="Y210" s="87"/>
      <c r="Z210" s="87"/>
      <c r="AA210" s="87"/>
    </row>
    <row r="211" ht="12" customHeight="1" spans="1:27">
      <c r="A211" s="87"/>
      <c r="B211" s="87"/>
      <c r="C211" s="87"/>
      <c r="D211" s="87"/>
      <c r="E211" s="203"/>
      <c r="F211" s="87"/>
      <c r="G211" s="204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155"/>
      <c r="S211" s="156"/>
      <c r="T211" s="157"/>
      <c r="U211" s="173"/>
      <c r="V211" s="157"/>
      <c r="W211" s="157"/>
      <c r="X211" s="87"/>
      <c r="Y211" s="87"/>
      <c r="Z211" s="87"/>
      <c r="AA211" s="87"/>
    </row>
    <row r="212" ht="12" customHeight="1" spans="1:27">
      <c r="A212" s="87"/>
      <c r="B212" s="87"/>
      <c r="C212" s="87"/>
      <c r="D212" s="87"/>
      <c r="E212" s="203"/>
      <c r="F212" s="87"/>
      <c r="G212" s="204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155"/>
      <c r="S212" s="156"/>
      <c r="T212" s="157"/>
      <c r="U212" s="173"/>
      <c r="V212" s="157"/>
      <c r="W212" s="157"/>
      <c r="X212" s="87"/>
      <c r="Y212" s="87"/>
      <c r="Z212" s="87"/>
      <c r="AA212" s="87"/>
    </row>
    <row r="213" ht="12" customHeight="1" spans="1:27">
      <c r="A213" s="87"/>
      <c r="B213" s="87"/>
      <c r="C213" s="87"/>
      <c r="D213" s="87"/>
      <c r="E213" s="203"/>
      <c r="F213" s="87"/>
      <c r="G213" s="204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155"/>
      <c r="S213" s="156"/>
      <c r="T213" s="157"/>
      <c r="U213" s="173"/>
      <c r="V213" s="157"/>
      <c r="W213" s="157"/>
      <c r="X213" s="87"/>
      <c r="Y213" s="87"/>
      <c r="Z213" s="87"/>
      <c r="AA213" s="87"/>
    </row>
    <row r="214" ht="12" customHeight="1" spans="1:27">
      <c r="A214" s="87"/>
      <c r="B214" s="87"/>
      <c r="C214" s="87"/>
      <c r="D214" s="87"/>
      <c r="E214" s="203"/>
      <c r="F214" s="87"/>
      <c r="G214" s="204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155"/>
      <c r="S214" s="156"/>
      <c r="T214" s="157"/>
      <c r="U214" s="173"/>
      <c r="V214" s="157"/>
      <c r="W214" s="157"/>
      <c r="X214" s="87"/>
      <c r="Y214" s="87"/>
      <c r="Z214" s="87"/>
      <c r="AA214" s="87"/>
    </row>
    <row r="215" ht="12" customHeight="1" spans="1:27">
      <c r="A215" s="87"/>
      <c r="B215" s="87"/>
      <c r="C215" s="87"/>
      <c r="D215" s="87"/>
      <c r="E215" s="203"/>
      <c r="F215" s="87"/>
      <c r="G215" s="204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155"/>
      <c r="S215" s="156"/>
      <c r="T215" s="157"/>
      <c r="U215" s="173"/>
      <c r="V215" s="157"/>
      <c r="W215" s="157"/>
      <c r="X215" s="87"/>
      <c r="Y215" s="87"/>
      <c r="Z215" s="87"/>
      <c r="AA215" s="87"/>
    </row>
    <row r="216" ht="12" customHeight="1" spans="1:27">
      <c r="A216" s="87"/>
      <c r="B216" s="87"/>
      <c r="C216" s="87"/>
      <c r="D216" s="87"/>
      <c r="E216" s="203"/>
      <c r="F216" s="87"/>
      <c r="G216" s="204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155"/>
      <c r="S216" s="156"/>
      <c r="T216" s="157"/>
      <c r="U216" s="173"/>
      <c r="V216" s="157"/>
      <c r="W216" s="157"/>
      <c r="X216" s="87"/>
      <c r="Y216" s="87"/>
      <c r="Z216" s="87"/>
      <c r="AA216" s="87"/>
    </row>
    <row r="217" ht="12" customHeight="1" spans="1:27">
      <c r="A217" s="87"/>
      <c r="B217" s="87"/>
      <c r="C217" s="87"/>
      <c r="D217" s="87"/>
      <c r="E217" s="203"/>
      <c r="F217" s="87"/>
      <c r="G217" s="204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155"/>
      <c r="S217" s="156"/>
      <c r="T217" s="157"/>
      <c r="U217" s="173"/>
      <c r="V217" s="157"/>
      <c r="W217" s="157"/>
      <c r="X217" s="87"/>
      <c r="Y217" s="87"/>
      <c r="Z217" s="87"/>
      <c r="AA217" s="87"/>
    </row>
    <row r="218" ht="12" customHeight="1" spans="1:27">
      <c r="A218" s="87"/>
      <c r="B218" s="87"/>
      <c r="C218" s="87"/>
      <c r="D218" s="87"/>
      <c r="E218" s="203"/>
      <c r="F218" s="87"/>
      <c r="G218" s="204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155"/>
      <c r="S218" s="156"/>
      <c r="T218" s="157"/>
      <c r="U218" s="173"/>
      <c r="V218" s="157"/>
      <c r="W218" s="157"/>
      <c r="X218" s="87"/>
      <c r="Y218" s="87"/>
      <c r="Z218" s="87"/>
      <c r="AA218" s="87"/>
    </row>
    <row r="219" ht="12" customHeight="1" spans="1:27">
      <c r="A219" s="87"/>
      <c r="B219" s="87"/>
      <c r="C219" s="87"/>
      <c r="D219" s="87"/>
      <c r="E219" s="203"/>
      <c r="F219" s="87"/>
      <c r="G219" s="204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155"/>
      <c r="S219" s="156"/>
      <c r="T219" s="157"/>
      <c r="U219" s="173"/>
      <c r="V219" s="157"/>
      <c r="W219" s="157"/>
      <c r="X219" s="87"/>
      <c r="Y219" s="87"/>
      <c r="Z219" s="87"/>
      <c r="AA219" s="87"/>
    </row>
    <row r="220" ht="12" customHeight="1" spans="1:27">
      <c r="A220" s="87"/>
      <c r="B220" s="87"/>
      <c r="C220" s="87"/>
      <c r="D220" s="87"/>
      <c r="E220" s="203"/>
      <c r="F220" s="87"/>
      <c r="G220" s="204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155"/>
      <c r="S220" s="156"/>
      <c r="T220" s="157"/>
      <c r="U220" s="173"/>
      <c r="V220" s="157"/>
      <c r="W220" s="157"/>
      <c r="X220" s="87"/>
      <c r="Y220" s="87"/>
      <c r="Z220" s="87"/>
      <c r="AA220" s="87"/>
    </row>
    <row r="221" ht="12" customHeight="1" spans="1:27">
      <c r="A221" s="87"/>
      <c r="B221" s="87"/>
      <c r="C221" s="87"/>
      <c r="D221" s="87"/>
      <c r="E221" s="203"/>
      <c r="F221" s="87"/>
      <c r="G221" s="204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155"/>
      <c r="S221" s="156"/>
      <c r="T221" s="157"/>
      <c r="U221" s="173"/>
      <c r="V221" s="157"/>
      <c r="W221" s="157"/>
      <c r="X221" s="87"/>
      <c r="Y221" s="87"/>
      <c r="Z221" s="87"/>
      <c r="AA221" s="87"/>
    </row>
    <row r="222" ht="12" customHeight="1" spans="1:27">
      <c r="A222" s="87"/>
      <c r="B222" s="87"/>
      <c r="C222" s="87"/>
      <c r="D222" s="87"/>
      <c r="E222" s="203"/>
      <c r="F222" s="87"/>
      <c r="G222" s="204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155"/>
      <c r="S222" s="156"/>
      <c r="T222" s="157"/>
      <c r="U222" s="173"/>
      <c r="V222" s="157"/>
      <c r="W222" s="157"/>
      <c r="X222" s="87"/>
      <c r="Y222" s="87"/>
      <c r="Z222" s="87"/>
      <c r="AA222" s="87"/>
    </row>
    <row r="223" ht="12" customHeight="1" spans="1:27">
      <c r="A223" s="87"/>
      <c r="B223" s="87"/>
      <c r="C223" s="87"/>
      <c r="D223" s="87"/>
      <c r="E223" s="203"/>
      <c r="F223" s="87"/>
      <c r="G223" s="204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155"/>
      <c r="S223" s="156"/>
      <c r="T223" s="157"/>
      <c r="U223" s="173"/>
      <c r="V223" s="157"/>
      <c r="W223" s="157"/>
      <c r="X223" s="87"/>
      <c r="Y223" s="87"/>
      <c r="Z223" s="87"/>
      <c r="AA223" s="87"/>
    </row>
    <row r="224" ht="12" customHeight="1" spans="1:27">
      <c r="A224" s="87"/>
      <c r="B224" s="87"/>
      <c r="C224" s="87"/>
      <c r="D224" s="87"/>
      <c r="E224" s="203"/>
      <c r="F224" s="87"/>
      <c r="G224" s="204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155"/>
      <c r="S224" s="156"/>
      <c r="T224" s="157"/>
      <c r="U224" s="173"/>
      <c r="V224" s="157"/>
      <c r="W224" s="157"/>
      <c r="X224" s="87"/>
      <c r="Y224" s="87"/>
      <c r="Z224" s="87"/>
      <c r="AA224" s="87"/>
    </row>
    <row r="225" ht="12" customHeight="1" spans="1:27">
      <c r="A225" s="87"/>
      <c r="B225" s="87"/>
      <c r="C225" s="87"/>
      <c r="D225" s="87"/>
      <c r="E225" s="203"/>
      <c r="F225" s="87"/>
      <c r="G225" s="204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155"/>
      <c r="S225" s="156"/>
      <c r="T225" s="157"/>
      <c r="U225" s="173"/>
      <c r="V225" s="157"/>
      <c r="W225" s="157"/>
      <c r="X225" s="87"/>
      <c r="Y225" s="87"/>
      <c r="Z225" s="87"/>
      <c r="AA225" s="87"/>
    </row>
    <row r="226" ht="12" customHeight="1" spans="1:27">
      <c r="A226" s="87"/>
      <c r="B226" s="87"/>
      <c r="C226" s="87"/>
      <c r="D226" s="87"/>
      <c r="E226" s="203"/>
      <c r="F226" s="87"/>
      <c r="G226" s="204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155"/>
      <c r="S226" s="156"/>
      <c r="T226" s="157"/>
      <c r="U226" s="173"/>
      <c r="V226" s="157"/>
      <c r="W226" s="157"/>
      <c r="X226" s="87"/>
      <c r="Y226" s="87"/>
      <c r="Z226" s="87"/>
      <c r="AA226" s="87"/>
    </row>
    <row r="227" ht="12" customHeight="1" spans="1:27">
      <c r="A227" s="87"/>
      <c r="B227" s="87"/>
      <c r="C227" s="87"/>
      <c r="D227" s="87"/>
      <c r="E227" s="203"/>
      <c r="F227" s="87"/>
      <c r="G227" s="204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155"/>
      <c r="S227" s="156"/>
      <c r="T227" s="157"/>
      <c r="U227" s="173"/>
      <c r="V227" s="157"/>
      <c r="W227" s="157"/>
      <c r="X227" s="87"/>
      <c r="Y227" s="87"/>
      <c r="Z227" s="87"/>
      <c r="AA227" s="87"/>
    </row>
    <row r="228" ht="12" customHeight="1" spans="1:27">
      <c r="A228" s="87"/>
      <c r="B228" s="87"/>
      <c r="C228" s="87"/>
      <c r="D228" s="87"/>
      <c r="E228" s="203"/>
      <c r="F228" s="87"/>
      <c r="G228" s="204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155"/>
      <c r="S228" s="156"/>
      <c r="T228" s="157"/>
      <c r="U228" s="173"/>
      <c r="V228" s="157"/>
      <c r="W228" s="157"/>
      <c r="X228" s="87"/>
      <c r="Y228" s="87"/>
      <c r="Z228" s="87"/>
      <c r="AA228" s="87"/>
    </row>
    <row r="229" ht="12" customHeight="1" spans="1:27">
      <c r="A229" s="87"/>
      <c r="B229" s="87"/>
      <c r="C229" s="87"/>
      <c r="D229" s="87"/>
      <c r="E229" s="203"/>
      <c r="F229" s="87"/>
      <c r="G229" s="204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155"/>
      <c r="S229" s="156"/>
      <c r="T229" s="157"/>
      <c r="U229" s="173"/>
      <c r="V229" s="157"/>
      <c r="W229" s="157"/>
      <c r="X229" s="87"/>
      <c r="Y229" s="87"/>
      <c r="Z229" s="87"/>
      <c r="AA229" s="87"/>
    </row>
    <row r="230" ht="12" customHeight="1" spans="1:27">
      <c r="A230" s="87"/>
      <c r="B230" s="87"/>
      <c r="C230" s="87"/>
      <c r="D230" s="87"/>
      <c r="E230" s="203"/>
      <c r="F230" s="87"/>
      <c r="G230" s="204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155"/>
      <c r="S230" s="156"/>
      <c r="T230" s="157"/>
      <c r="U230" s="173"/>
      <c r="V230" s="157"/>
      <c r="W230" s="157"/>
      <c r="X230" s="87"/>
      <c r="Y230" s="87"/>
      <c r="Z230" s="87"/>
      <c r="AA230" s="87"/>
    </row>
    <row r="231" ht="12" customHeight="1" spans="1:27">
      <c r="A231" s="87"/>
      <c r="B231" s="87"/>
      <c r="C231" s="87"/>
      <c r="D231" s="87"/>
      <c r="E231" s="203"/>
      <c r="F231" s="87"/>
      <c r="G231" s="204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155"/>
      <c r="S231" s="156"/>
      <c r="T231" s="157"/>
      <c r="U231" s="173"/>
      <c r="V231" s="157"/>
      <c r="W231" s="157"/>
      <c r="X231" s="87"/>
      <c r="Y231" s="87"/>
      <c r="Z231" s="87"/>
      <c r="AA231" s="87"/>
    </row>
    <row r="232" ht="12" customHeight="1" spans="1:27">
      <c r="A232" s="87"/>
      <c r="B232" s="87"/>
      <c r="C232" s="87"/>
      <c r="D232" s="87"/>
      <c r="E232" s="203"/>
      <c r="F232" s="87"/>
      <c r="G232" s="204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155"/>
      <c r="S232" s="156"/>
      <c r="T232" s="157"/>
      <c r="U232" s="173"/>
      <c r="V232" s="157"/>
      <c r="W232" s="157"/>
      <c r="X232" s="87"/>
      <c r="Y232" s="87"/>
      <c r="Z232" s="87"/>
      <c r="AA232" s="87"/>
    </row>
    <row r="233" ht="12" customHeight="1" spans="1:27">
      <c r="A233" s="87"/>
      <c r="B233" s="87"/>
      <c r="C233" s="87"/>
      <c r="D233" s="87"/>
      <c r="E233" s="203"/>
      <c r="F233" s="87"/>
      <c r="G233" s="204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155"/>
      <c r="S233" s="156"/>
      <c r="T233" s="157"/>
      <c r="U233" s="173"/>
      <c r="V233" s="157"/>
      <c r="W233" s="157"/>
      <c r="X233" s="87"/>
      <c r="Y233" s="87"/>
      <c r="Z233" s="87"/>
      <c r="AA233" s="87"/>
    </row>
    <row r="234" ht="12" customHeight="1" spans="1:27">
      <c r="A234" s="87"/>
      <c r="B234" s="87"/>
      <c r="C234" s="87"/>
      <c r="D234" s="87"/>
      <c r="E234" s="203"/>
      <c r="F234" s="87"/>
      <c r="G234" s="204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155"/>
      <c r="S234" s="156"/>
      <c r="T234" s="157"/>
      <c r="U234" s="173"/>
      <c r="V234" s="157"/>
      <c r="W234" s="157"/>
      <c r="X234" s="87"/>
      <c r="Y234" s="87"/>
      <c r="Z234" s="87"/>
      <c r="AA234" s="87"/>
    </row>
    <row r="235" ht="12" customHeight="1" spans="1:27">
      <c r="A235" s="87"/>
      <c r="B235" s="87"/>
      <c r="C235" s="87"/>
      <c r="D235" s="87"/>
      <c r="E235" s="203"/>
      <c r="F235" s="87"/>
      <c r="G235" s="204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155"/>
      <c r="S235" s="156"/>
      <c r="T235" s="157"/>
      <c r="U235" s="173"/>
      <c r="V235" s="157"/>
      <c r="W235" s="157"/>
      <c r="X235" s="87"/>
      <c r="Y235" s="87"/>
      <c r="Z235" s="87"/>
      <c r="AA235" s="87"/>
    </row>
    <row r="236" ht="12" customHeight="1" spans="1:27">
      <c r="A236" s="87"/>
      <c r="B236" s="87"/>
      <c r="C236" s="87"/>
      <c r="D236" s="87"/>
      <c r="E236" s="203"/>
      <c r="F236" s="87"/>
      <c r="G236" s="204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155"/>
      <c r="S236" s="156"/>
      <c r="T236" s="157"/>
      <c r="U236" s="173"/>
      <c r="V236" s="157"/>
      <c r="W236" s="157"/>
      <c r="X236" s="87"/>
      <c r="Y236" s="87"/>
      <c r="Z236" s="87"/>
      <c r="AA236" s="87"/>
    </row>
    <row r="237" ht="12" customHeight="1" spans="1:27">
      <c r="A237" s="87"/>
      <c r="B237" s="87"/>
      <c r="C237" s="87"/>
      <c r="D237" s="87"/>
      <c r="E237" s="203"/>
      <c r="F237" s="87"/>
      <c r="G237" s="204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155"/>
      <c r="S237" s="156"/>
      <c r="T237" s="157"/>
      <c r="U237" s="173"/>
      <c r="V237" s="157"/>
      <c r="W237" s="157"/>
      <c r="X237" s="87"/>
      <c r="Y237" s="87"/>
      <c r="Z237" s="87"/>
      <c r="AA237" s="87"/>
    </row>
    <row r="238" ht="12" customHeight="1" spans="1:27">
      <c r="A238" s="87"/>
      <c r="B238" s="87"/>
      <c r="C238" s="87"/>
      <c r="D238" s="87"/>
      <c r="E238" s="203"/>
      <c r="F238" s="87"/>
      <c r="G238" s="204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155"/>
      <c r="S238" s="156"/>
      <c r="T238" s="157"/>
      <c r="U238" s="173"/>
      <c r="V238" s="157"/>
      <c r="W238" s="157"/>
      <c r="X238" s="87"/>
      <c r="Y238" s="87"/>
      <c r="Z238" s="87"/>
      <c r="AA238" s="87"/>
    </row>
    <row r="239" ht="12" customHeight="1" spans="1:27">
      <c r="A239" s="87"/>
      <c r="B239" s="87"/>
      <c r="C239" s="87"/>
      <c r="D239" s="87"/>
      <c r="E239" s="203"/>
      <c r="F239" s="87"/>
      <c r="G239" s="204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155"/>
      <c r="S239" s="156"/>
      <c r="T239" s="157"/>
      <c r="U239" s="173"/>
      <c r="V239" s="157"/>
      <c r="W239" s="157"/>
      <c r="X239" s="87"/>
      <c r="Y239" s="87"/>
      <c r="Z239" s="87"/>
      <c r="AA239" s="87"/>
    </row>
    <row r="240" ht="12" customHeight="1" spans="1:27">
      <c r="A240" s="87"/>
      <c r="B240" s="87"/>
      <c r="C240" s="87"/>
      <c r="D240" s="87"/>
      <c r="E240" s="203"/>
      <c r="F240" s="87"/>
      <c r="G240" s="204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155"/>
      <c r="S240" s="156"/>
      <c r="T240" s="157"/>
      <c r="U240" s="173"/>
      <c r="V240" s="157"/>
      <c r="W240" s="157"/>
      <c r="X240" s="87"/>
      <c r="Y240" s="87"/>
      <c r="Z240" s="87"/>
      <c r="AA240" s="87"/>
    </row>
    <row r="241" ht="12" customHeight="1" spans="1:27">
      <c r="A241" s="87"/>
      <c r="B241" s="87"/>
      <c r="C241" s="87"/>
      <c r="D241" s="87"/>
      <c r="E241" s="203"/>
      <c r="F241" s="87"/>
      <c r="G241" s="204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155"/>
      <c r="S241" s="156"/>
      <c r="T241" s="157"/>
      <c r="U241" s="173"/>
      <c r="V241" s="157"/>
      <c r="W241" s="157"/>
      <c r="X241" s="87"/>
      <c r="Y241" s="87"/>
      <c r="Z241" s="87"/>
      <c r="AA241" s="87"/>
    </row>
    <row r="242" ht="12" customHeight="1" spans="1:27">
      <c r="A242" s="87"/>
      <c r="B242" s="87"/>
      <c r="C242" s="87"/>
      <c r="D242" s="87"/>
      <c r="E242" s="203"/>
      <c r="F242" s="87"/>
      <c r="G242" s="204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155"/>
      <c r="S242" s="156"/>
      <c r="T242" s="157"/>
      <c r="U242" s="173"/>
      <c r="V242" s="157"/>
      <c r="W242" s="157"/>
      <c r="X242" s="87"/>
      <c r="Y242" s="87"/>
      <c r="Z242" s="87"/>
      <c r="AA242" s="87"/>
    </row>
    <row r="243" ht="12" customHeight="1" spans="1:27">
      <c r="A243" s="87"/>
      <c r="B243" s="87"/>
      <c r="C243" s="87"/>
      <c r="D243" s="87"/>
      <c r="E243" s="203"/>
      <c r="F243" s="87"/>
      <c r="G243" s="204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155"/>
      <c r="S243" s="156"/>
      <c r="T243" s="157"/>
      <c r="U243" s="173"/>
      <c r="V243" s="157"/>
      <c r="W243" s="157"/>
      <c r="X243" s="87"/>
      <c r="Y243" s="87"/>
      <c r="Z243" s="87"/>
      <c r="AA243" s="87"/>
    </row>
    <row r="244" ht="12" customHeight="1" spans="1:27">
      <c r="A244" s="87"/>
      <c r="B244" s="87"/>
      <c r="C244" s="87"/>
      <c r="D244" s="87"/>
      <c r="E244" s="203"/>
      <c r="F244" s="87"/>
      <c r="G244" s="204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155"/>
      <c r="S244" s="156"/>
      <c r="T244" s="157"/>
      <c r="U244" s="173"/>
      <c r="V244" s="157"/>
      <c r="W244" s="157"/>
      <c r="X244" s="87"/>
      <c r="Y244" s="87"/>
      <c r="Z244" s="87"/>
      <c r="AA244" s="87"/>
    </row>
    <row r="245" ht="12" customHeight="1" spans="1:27">
      <c r="A245" s="87"/>
      <c r="B245" s="87"/>
      <c r="C245" s="87"/>
      <c r="D245" s="87"/>
      <c r="E245" s="203"/>
      <c r="F245" s="87"/>
      <c r="G245" s="204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155"/>
      <c r="S245" s="156"/>
      <c r="T245" s="157"/>
      <c r="U245" s="173"/>
      <c r="V245" s="157"/>
      <c r="W245" s="157"/>
      <c r="X245" s="87"/>
      <c r="Y245" s="87"/>
      <c r="Z245" s="87"/>
      <c r="AA245" s="87"/>
    </row>
    <row r="246" ht="12" customHeight="1" spans="1:27">
      <c r="A246" s="87"/>
      <c r="B246" s="87"/>
      <c r="C246" s="87"/>
      <c r="D246" s="87"/>
      <c r="E246" s="203"/>
      <c r="F246" s="87"/>
      <c r="G246" s="204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155"/>
      <c r="S246" s="156"/>
      <c r="T246" s="157"/>
      <c r="U246" s="173"/>
      <c r="V246" s="157"/>
      <c r="W246" s="157"/>
      <c r="X246" s="87"/>
      <c r="Y246" s="87"/>
      <c r="Z246" s="87"/>
      <c r="AA246" s="87"/>
    </row>
    <row r="247" ht="12" customHeight="1" spans="1:27">
      <c r="A247" s="87"/>
      <c r="B247" s="87"/>
      <c r="C247" s="87"/>
      <c r="D247" s="87"/>
      <c r="E247" s="203"/>
      <c r="F247" s="87"/>
      <c r="G247" s="204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155"/>
      <c r="S247" s="156"/>
      <c r="T247" s="157"/>
      <c r="U247" s="173"/>
      <c r="V247" s="157"/>
      <c r="W247" s="157"/>
      <c r="X247" s="87"/>
      <c r="Y247" s="87"/>
      <c r="Z247" s="87"/>
      <c r="AA247" s="87"/>
    </row>
    <row r="248" ht="12" customHeight="1" spans="1:27">
      <c r="A248" s="87"/>
      <c r="B248" s="87"/>
      <c r="C248" s="87"/>
      <c r="D248" s="87"/>
      <c r="E248" s="203"/>
      <c r="F248" s="87"/>
      <c r="G248" s="204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155"/>
      <c r="S248" s="156"/>
      <c r="T248" s="157"/>
      <c r="U248" s="173"/>
      <c r="V248" s="157"/>
      <c r="W248" s="157"/>
      <c r="X248" s="87"/>
      <c r="Y248" s="87"/>
      <c r="Z248" s="87"/>
      <c r="AA248" s="87"/>
    </row>
    <row r="249" ht="12" customHeight="1" spans="1:27">
      <c r="A249" s="87"/>
      <c r="B249" s="87"/>
      <c r="C249" s="87"/>
      <c r="D249" s="87"/>
      <c r="E249" s="203"/>
      <c r="F249" s="87"/>
      <c r="G249" s="204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155"/>
      <c r="S249" s="156"/>
      <c r="T249" s="157"/>
      <c r="U249" s="173"/>
      <c r="V249" s="157"/>
      <c r="W249" s="157"/>
      <c r="X249" s="87"/>
      <c r="Y249" s="87"/>
      <c r="Z249" s="87"/>
      <c r="AA249" s="87"/>
    </row>
    <row r="250" ht="12" customHeight="1" spans="1:27">
      <c r="A250" s="87"/>
      <c r="B250" s="87"/>
      <c r="C250" s="87"/>
      <c r="D250" s="87"/>
      <c r="E250" s="203"/>
      <c r="F250" s="87"/>
      <c r="G250" s="204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155"/>
      <c r="S250" s="156"/>
      <c r="T250" s="157"/>
      <c r="U250" s="173"/>
      <c r="V250" s="157"/>
      <c r="W250" s="157"/>
      <c r="X250" s="87"/>
      <c r="Y250" s="87"/>
      <c r="Z250" s="87"/>
      <c r="AA250" s="87"/>
    </row>
    <row r="251" ht="12" customHeight="1" spans="1:27">
      <c r="A251" s="87"/>
      <c r="B251" s="87"/>
      <c r="C251" s="87"/>
      <c r="D251" s="87"/>
      <c r="E251" s="203"/>
      <c r="F251" s="87"/>
      <c r="G251" s="204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155"/>
      <c r="S251" s="156"/>
      <c r="T251" s="157"/>
      <c r="U251" s="173"/>
      <c r="V251" s="157"/>
      <c r="W251" s="157"/>
      <c r="X251" s="87"/>
      <c r="Y251" s="87"/>
      <c r="Z251" s="87"/>
      <c r="AA251" s="87"/>
    </row>
    <row r="252" ht="12" customHeight="1" spans="1:27">
      <c r="A252" s="87"/>
      <c r="B252" s="87"/>
      <c r="C252" s="87"/>
      <c r="D252" s="87"/>
      <c r="E252" s="203"/>
      <c r="F252" s="87"/>
      <c r="G252" s="204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155"/>
      <c r="S252" s="156"/>
      <c r="T252" s="157"/>
      <c r="U252" s="173"/>
      <c r="V252" s="157"/>
      <c r="W252" s="157"/>
      <c r="X252" s="87"/>
      <c r="Y252" s="87"/>
      <c r="Z252" s="87"/>
      <c r="AA252" s="87"/>
    </row>
    <row r="253" ht="12" customHeight="1" spans="1:27">
      <c r="A253" s="87"/>
      <c r="B253" s="87"/>
      <c r="C253" s="87"/>
      <c r="D253" s="87"/>
      <c r="E253" s="203"/>
      <c r="F253" s="87"/>
      <c r="G253" s="204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155"/>
      <c r="S253" s="156"/>
      <c r="T253" s="157"/>
      <c r="U253" s="173"/>
      <c r="V253" s="157"/>
      <c r="W253" s="157"/>
      <c r="X253" s="87"/>
      <c r="Y253" s="87"/>
      <c r="Z253" s="87"/>
      <c r="AA253" s="87"/>
    </row>
    <row r="254" ht="12" customHeight="1" spans="1:27">
      <c r="A254" s="87"/>
      <c r="B254" s="87"/>
      <c r="C254" s="87"/>
      <c r="D254" s="87"/>
      <c r="E254" s="203"/>
      <c r="F254" s="87"/>
      <c r="G254" s="204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155"/>
      <c r="S254" s="156"/>
      <c r="T254" s="157"/>
      <c r="U254" s="173"/>
      <c r="V254" s="157"/>
      <c r="W254" s="157"/>
      <c r="X254" s="87"/>
      <c r="Y254" s="87"/>
      <c r="Z254" s="87"/>
      <c r="AA254" s="87"/>
    </row>
    <row r="255" ht="12" customHeight="1" spans="1:27">
      <c r="A255" s="87"/>
      <c r="B255" s="87"/>
      <c r="C255" s="87"/>
      <c r="D255" s="87"/>
      <c r="E255" s="203"/>
      <c r="F255" s="87"/>
      <c r="G255" s="204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155"/>
      <c r="S255" s="156"/>
      <c r="T255" s="157"/>
      <c r="U255" s="173"/>
      <c r="V255" s="157"/>
      <c r="W255" s="157"/>
      <c r="X255" s="87"/>
      <c r="Y255" s="87"/>
      <c r="Z255" s="87"/>
      <c r="AA255" s="87"/>
    </row>
    <row r="256" ht="12" customHeight="1" spans="1:27">
      <c r="A256" s="87"/>
      <c r="B256" s="87"/>
      <c r="C256" s="87"/>
      <c r="D256" s="87"/>
      <c r="E256" s="203"/>
      <c r="F256" s="87"/>
      <c r="G256" s="204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155"/>
      <c r="S256" s="156"/>
      <c r="T256" s="157"/>
      <c r="U256" s="173"/>
      <c r="V256" s="157"/>
      <c r="W256" s="157"/>
      <c r="X256" s="87"/>
      <c r="Y256" s="87"/>
      <c r="Z256" s="87"/>
      <c r="AA256" s="87"/>
    </row>
    <row r="257" ht="12" customHeight="1" spans="1:27">
      <c r="A257" s="87"/>
      <c r="B257" s="87"/>
      <c r="C257" s="87"/>
      <c r="D257" s="87"/>
      <c r="E257" s="203"/>
      <c r="F257" s="87"/>
      <c r="G257" s="204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155"/>
      <c r="S257" s="156"/>
      <c r="T257" s="157"/>
      <c r="U257" s="173"/>
      <c r="V257" s="157"/>
      <c r="W257" s="157"/>
      <c r="X257" s="87"/>
      <c r="Y257" s="87"/>
      <c r="Z257" s="87"/>
      <c r="AA257" s="87"/>
    </row>
    <row r="258" ht="12" customHeight="1" spans="1:27">
      <c r="A258" s="87"/>
      <c r="B258" s="87"/>
      <c r="C258" s="87"/>
      <c r="D258" s="87"/>
      <c r="E258" s="203"/>
      <c r="F258" s="87"/>
      <c r="G258" s="204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155"/>
      <c r="S258" s="156"/>
      <c r="T258" s="157"/>
      <c r="U258" s="173"/>
      <c r="V258" s="157"/>
      <c r="W258" s="157"/>
      <c r="X258" s="87"/>
      <c r="Y258" s="87"/>
      <c r="Z258" s="87"/>
      <c r="AA258" s="87"/>
    </row>
    <row r="259" ht="12" customHeight="1" spans="1:27">
      <c r="A259" s="87"/>
      <c r="B259" s="87"/>
      <c r="C259" s="87"/>
      <c r="D259" s="87"/>
      <c r="E259" s="203"/>
      <c r="F259" s="87"/>
      <c r="G259" s="204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155"/>
      <c r="S259" s="156"/>
      <c r="T259" s="157"/>
      <c r="U259" s="173"/>
      <c r="V259" s="157"/>
      <c r="W259" s="157"/>
      <c r="X259" s="87"/>
      <c r="Y259" s="87"/>
      <c r="Z259" s="87"/>
      <c r="AA259" s="87"/>
    </row>
    <row r="260" ht="12" customHeight="1" spans="1:27">
      <c r="A260" s="87"/>
      <c r="B260" s="87"/>
      <c r="C260" s="87"/>
      <c r="D260" s="87"/>
      <c r="E260" s="203"/>
      <c r="F260" s="87"/>
      <c r="G260" s="204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155"/>
      <c r="S260" s="156"/>
      <c r="T260" s="157"/>
      <c r="U260" s="173"/>
      <c r="V260" s="157"/>
      <c r="W260" s="157"/>
      <c r="X260" s="87"/>
      <c r="Y260" s="87"/>
      <c r="Z260" s="87"/>
      <c r="AA260" s="87"/>
    </row>
    <row r="261" ht="12" customHeight="1" spans="1:27">
      <c r="A261" s="87"/>
      <c r="B261" s="87"/>
      <c r="C261" s="87"/>
      <c r="D261" s="87"/>
      <c r="E261" s="203"/>
      <c r="F261" s="87"/>
      <c r="G261" s="204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155"/>
      <c r="S261" s="156"/>
      <c r="T261" s="157"/>
      <c r="U261" s="173"/>
      <c r="V261" s="157"/>
      <c r="W261" s="157"/>
      <c r="X261" s="87"/>
      <c r="Y261" s="87"/>
      <c r="Z261" s="87"/>
      <c r="AA261" s="87"/>
    </row>
    <row r="262" ht="12" customHeight="1" spans="1:27">
      <c r="A262" s="87"/>
      <c r="B262" s="87"/>
      <c r="C262" s="87"/>
      <c r="D262" s="87"/>
      <c r="E262" s="203"/>
      <c r="F262" s="87"/>
      <c r="G262" s="204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155"/>
      <c r="S262" s="156"/>
      <c r="T262" s="157"/>
      <c r="U262" s="173"/>
      <c r="V262" s="157"/>
      <c r="W262" s="157"/>
      <c r="X262" s="87"/>
      <c r="Y262" s="87"/>
      <c r="Z262" s="87"/>
      <c r="AA262" s="87"/>
    </row>
    <row r="263" ht="12" customHeight="1" spans="1:27">
      <c r="A263" s="87"/>
      <c r="B263" s="87"/>
      <c r="C263" s="87"/>
      <c r="D263" s="87"/>
      <c r="E263" s="203"/>
      <c r="F263" s="87"/>
      <c r="G263" s="204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155"/>
      <c r="S263" s="156"/>
      <c r="T263" s="157"/>
      <c r="U263" s="173"/>
      <c r="V263" s="157"/>
      <c r="W263" s="157"/>
      <c r="X263" s="87"/>
      <c r="Y263" s="87"/>
      <c r="Z263" s="87"/>
      <c r="AA263" s="87"/>
    </row>
    <row r="264" ht="12" customHeight="1" spans="1:27">
      <c r="A264" s="87"/>
      <c r="B264" s="87"/>
      <c r="C264" s="87"/>
      <c r="D264" s="87"/>
      <c r="E264" s="203"/>
      <c r="F264" s="87"/>
      <c r="G264" s="204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155"/>
      <c r="S264" s="156"/>
      <c r="T264" s="157"/>
      <c r="U264" s="173"/>
      <c r="V264" s="157"/>
      <c r="W264" s="157"/>
      <c r="X264" s="87"/>
      <c r="Y264" s="87"/>
      <c r="Z264" s="87"/>
      <c r="AA264" s="87"/>
    </row>
    <row r="265" ht="12" customHeight="1" spans="1:27">
      <c r="A265" s="87"/>
      <c r="B265" s="87"/>
      <c r="C265" s="87"/>
      <c r="D265" s="87"/>
      <c r="E265" s="203"/>
      <c r="F265" s="87"/>
      <c r="G265" s="204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155"/>
      <c r="S265" s="156"/>
      <c r="T265" s="157"/>
      <c r="U265" s="173"/>
      <c r="V265" s="157"/>
      <c r="W265" s="157"/>
      <c r="X265" s="87"/>
      <c r="Y265" s="87"/>
      <c r="Z265" s="87"/>
      <c r="AA265" s="87"/>
    </row>
    <row r="266" ht="12" customHeight="1" spans="1:27">
      <c r="A266" s="87"/>
      <c r="B266" s="87"/>
      <c r="C266" s="87"/>
      <c r="D266" s="87"/>
      <c r="E266" s="203"/>
      <c r="F266" s="87"/>
      <c r="G266" s="204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155"/>
      <c r="S266" s="156"/>
      <c r="T266" s="157"/>
      <c r="U266" s="173"/>
      <c r="V266" s="157"/>
      <c r="W266" s="157"/>
      <c r="X266" s="87"/>
      <c r="Y266" s="87"/>
      <c r="Z266" s="87"/>
      <c r="AA266" s="87"/>
    </row>
    <row r="267" ht="12" customHeight="1" spans="1:27">
      <c r="A267" s="87"/>
      <c r="B267" s="87"/>
      <c r="C267" s="87"/>
      <c r="D267" s="87"/>
      <c r="E267" s="203"/>
      <c r="F267" s="87"/>
      <c r="G267" s="204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155"/>
      <c r="S267" s="156"/>
      <c r="T267" s="157"/>
      <c r="U267" s="173"/>
      <c r="V267" s="157"/>
      <c r="W267" s="157"/>
      <c r="X267" s="87"/>
      <c r="Y267" s="87"/>
      <c r="Z267" s="87"/>
      <c r="AA267" s="87"/>
    </row>
    <row r="268" ht="12" customHeight="1" spans="1:27">
      <c r="A268" s="87"/>
      <c r="B268" s="87"/>
      <c r="C268" s="87"/>
      <c r="D268" s="87"/>
      <c r="E268" s="203"/>
      <c r="F268" s="87"/>
      <c r="G268" s="204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155"/>
      <c r="S268" s="156"/>
      <c r="T268" s="157"/>
      <c r="U268" s="173"/>
      <c r="V268" s="157"/>
      <c r="W268" s="157"/>
      <c r="X268" s="87"/>
      <c r="Y268" s="87"/>
      <c r="Z268" s="87"/>
      <c r="AA268" s="87"/>
    </row>
    <row r="269" ht="12" customHeight="1" spans="1:27">
      <c r="A269" s="87"/>
      <c r="B269" s="87"/>
      <c r="C269" s="87"/>
      <c r="D269" s="87"/>
      <c r="E269" s="203"/>
      <c r="F269" s="87"/>
      <c r="G269" s="204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155"/>
      <c r="S269" s="156"/>
      <c r="T269" s="157"/>
      <c r="U269" s="173"/>
      <c r="V269" s="157"/>
      <c r="W269" s="157"/>
      <c r="X269" s="87"/>
      <c r="Y269" s="87"/>
      <c r="Z269" s="87"/>
      <c r="AA269" s="87"/>
    </row>
    <row r="270" ht="12" customHeight="1" spans="1:27">
      <c r="A270" s="87"/>
      <c r="B270" s="87"/>
      <c r="C270" s="87"/>
      <c r="D270" s="87"/>
      <c r="E270" s="203"/>
      <c r="F270" s="87"/>
      <c r="G270" s="204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155"/>
      <c r="S270" s="156"/>
      <c r="T270" s="157"/>
      <c r="U270" s="173"/>
      <c r="V270" s="157"/>
      <c r="W270" s="157"/>
      <c r="X270" s="87"/>
      <c r="Y270" s="87"/>
      <c r="Z270" s="87"/>
      <c r="AA270" s="87"/>
    </row>
    <row r="271" ht="12" customHeight="1" spans="1:27">
      <c r="A271" s="87"/>
      <c r="B271" s="87"/>
      <c r="C271" s="87"/>
      <c r="D271" s="87"/>
      <c r="E271" s="203"/>
      <c r="F271" s="87"/>
      <c r="G271" s="204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155"/>
      <c r="S271" s="156"/>
      <c r="T271" s="157"/>
      <c r="U271" s="173"/>
      <c r="V271" s="157"/>
      <c r="W271" s="157"/>
      <c r="X271" s="87"/>
      <c r="Y271" s="87"/>
      <c r="Z271" s="87"/>
      <c r="AA271" s="87"/>
    </row>
    <row r="272" ht="12" customHeight="1" spans="1:27">
      <c r="A272" s="87"/>
      <c r="B272" s="87"/>
      <c r="C272" s="87"/>
      <c r="D272" s="87"/>
      <c r="E272" s="203"/>
      <c r="F272" s="87"/>
      <c r="G272" s="204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155"/>
      <c r="S272" s="156"/>
      <c r="T272" s="157"/>
      <c r="U272" s="173"/>
      <c r="V272" s="157"/>
      <c r="W272" s="157"/>
      <c r="X272" s="87"/>
      <c r="Y272" s="87"/>
      <c r="Z272" s="87"/>
      <c r="AA272" s="87"/>
    </row>
    <row r="273" ht="12" customHeight="1" spans="1:27">
      <c r="A273" s="87"/>
      <c r="B273" s="87"/>
      <c r="C273" s="87"/>
      <c r="D273" s="87"/>
      <c r="E273" s="203"/>
      <c r="F273" s="87"/>
      <c r="G273" s="204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155"/>
      <c r="S273" s="156"/>
      <c r="T273" s="157"/>
      <c r="U273" s="173"/>
      <c r="V273" s="157"/>
      <c r="W273" s="157"/>
      <c r="X273" s="87"/>
      <c r="Y273" s="87"/>
      <c r="Z273" s="87"/>
      <c r="AA273" s="87"/>
    </row>
    <row r="274" ht="12" customHeight="1" spans="1:27">
      <c r="A274" s="87"/>
      <c r="B274" s="87"/>
      <c r="C274" s="87"/>
      <c r="D274" s="87"/>
      <c r="E274" s="203"/>
      <c r="F274" s="87"/>
      <c r="G274" s="204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155"/>
      <c r="S274" s="156"/>
      <c r="T274" s="157"/>
      <c r="U274" s="173"/>
      <c r="V274" s="157"/>
      <c r="W274" s="157"/>
      <c r="X274" s="87"/>
      <c r="Y274" s="87"/>
      <c r="Z274" s="87"/>
      <c r="AA274" s="87"/>
    </row>
    <row r="275" ht="12" customHeight="1" spans="1:27">
      <c r="A275" s="87"/>
      <c r="B275" s="87"/>
      <c r="C275" s="87"/>
      <c r="D275" s="87"/>
      <c r="E275" s="203"/>
      <c r="F275" s="87"/>
      <c r="G275" s="204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155"/>
      <c r="S275" s="156"/>
      <c r="T275" s="157"/>
      <c r="U275" s="173"/>
      <c r="V275" s="157"/>
      <c r="W275" s="157"/>
      <c r="X275" s="87"/>
      <c r="Y275" s="87"/>
      <c r="Z275" s="87"/>
      <c r="AA275" s="87"/>
    </row>
    <row r="276" ht="12" customHeight="1" spans="1:27">
      <c r="A276" s="87"/>
      <c r="B276" s="87"/>
      <c r="C276" s="87"/>
      <c r="D276" s="87"/>
      <c r="E276" s="203"/>
      <c r="F276" s="87"/>
      <c r="G276" s="204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155"/>
      <c r="S276" s="156"/>
      <c r="T276" s="157"/>
      <c r="U276" s="173"/>
      <c r="V276" s="157"/>
      <c r="W276" s="157"/>
      <c r="X276" s="87"/>
      <c r="Y276" s="87"/>
      <c r="Z276" s="87"/>
      <c r="AA276" s="87"/>
    </row>
    <row r="277" ht="12" customHeight="1" spans="1:27">
      <c r="A277" s="87"/>
      <c r="B277" s="87"/>
      <c r="C277" s="87"/>
      <c r="D277" s="87"/>
      <c r="E277" s="203"/>
      <c r="F277" s="87"/>
      <c r="G277" s="204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155"/>
      <c r="S277" s="156"/>
      <c r="T277" s="157"/>
      <c r="U277" s="173"/>
      <c r="V277" s="157"/>
      <c r="W277" s="157"/>
      <c r="X277" s="87"/>
      <c r="Y277" s="87"/>
      <c r="Z277" s="87"/>
      <c r="AA277" s="87"/>
    </row>
    <row r="278" ht="12" customHeight="1" spans="1:27">
      <c r="A278" s="87"/>
      <c r="B278" s="87"/>
      <c r="C278" s="87"/>
      <c r="D278" s="87"/>
      <c r="E278" s="203"/>
      <c r="F278" s="87"/>
      <c r="G278" s="204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155"/>
      <c r="S278" s="156"/>
      <c r="T278" s="157"/>
      <c r="U278" s="173"/>
      <c r="V278" s="157"/>
      <c r="W278" s="157"/>
      <c r="X278" s="87"/>
      <c r="Y278" s="87"/>
      <c r="Z278" s="87"/>
      <c r="AA278" s="87"/>
    </row>
    <row r="279" ht="12" customHeight="1" spans="1:27">
      <c r="A279" s="87"/>
      <c r="B279" s="87"/>
      <c r="C279" s="87"/>
      <c r="D279" s="87"/>
      <c r="E279" s="203"/>
      <c r="F279" s="87"/>
      <c r="G279" s="204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155"/>
      <c r="S279" s="156"/>
      <c r="T279" s="157"/>
      <c r="U279" s="173"/>
      <c r="V279" s="157"/>
      <c r="W279" s="157"/>
      <c r="X279" s="87"/>
      <c r="Y279" s="87"/>
      <c r="Z279" s="87"/>
      <c r="AA279" s="87"/>
    </row>
    <row r="280" ht="12" customHeight="1" spans="1:27">
      <c r="A280" s="87"/>
      <c r="B280" s="87"/>
      <c r="C280" s="87"/>
      <c r="D280" s="87"/>
      <c r="E280" s="203"/>
      <c r="F280" s="87"/>
      <c r="G280" s="204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155"/>
      <c r="S280" s="156"/>
      <c r="T280" s="157"/>
      <c r="U280" s="173"/>
      <c r="V280" s="157"/>
      <c r="W280" s="157"/>
      <c r="X280" s="87"/>
      <c r="Y280" s="87"/>
      <c r="Z280" s="87"/>
      <c r="AA280" s="87"/>
    </row>
    <row r="281" ht="12" customHeight="1" spans="1:27">
      <c r="A281" s="87"/>
      <c r="B281" s="87"/>
      <c r="C281" s="87"/>
      <c r="D281" s="87"/>
      <c r="E281" s="203"/>
      <c r="F281" s="87"/>
      <c r="G281" s="204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155"/>
      <c r="S281" s="156"/>
      <c r="T281" s="157"/>
      <c r="U281" s="173"/>
      <c r="V281" s="157"/>
      <c r="W281" s="157"/>
      <c r="X281" s="87"/>
      <c r="Y281" s="87"/>
      <c r="Z281" s="87"/>
      <c r="AA281" s="87"/>
    </row>
    <row r="282" ht="12" customHeight="1" spans="1:27">
      <c r="A282" s="87"/>
      <c r="B282" s="87"/>
      <c r="C282" s="87"/>
      <c r="D282" s="87"/>
      <c r="E282" s="203"/>
      <c r="F282" s="87"/>
      <c r="G282" s="204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155"/>
      <c r="S282" s="156"/>
      <c r="T282" s="157"/>
      <c r="U282" s="173"/>
      <c r="V282" s="157"/>
      <c r="W282" s="157"/>
      <c r="X282" s="87"/>
      <c r="Y282" s="87"/>
      <c r="Z282" s="87"/>
      <c r="AA282" s="87"/>
    </row>
    <row r="283" ht="12" customHeight="1" spans="1:27">
      <c r="A283" s="87"/>
      <c r="B283" s="87"/>
      <c r="C283" s="87"/>
      <c r="D283" s="87"/>
      <c r="E283" s="203"/>
      <c r="F283" s="87"/>
      <c r="G283" s="204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155"/>
      <c r="S283" s="156"/>
      <c r="T283" s="157"/>
      <c r="U283" s="173"/>
      <c r="V283" s="157"/>
      <c r="W283" s="157"/>
      <c r="X283" s="87"/>
      <c r="Y283" s="87"/>
      <c r="Z283" s="87"/>
      <c r="AA283" s="87"/>
    </row>
    <row r="284" ht="12" customHeight="1" spans="1:27">
      <c r="A284" s="87"/>
      <c r="B284" s="87"/>
      <c r="C284" s="87"/>
      <c r="D284" s="87"/>
      <c r="E284" s="203"/>
      <c r="F284" s="87"/>
      <c r="G284" s="204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155"/>
      <c r="S284" s="156"/>
      <c r="T284" s="157"/>
      <c r="U284" s="173"/>
      <c r="V284" s="157"/>
      <c r="W284" s="157"/>
      <c r="X284" s="87"/>
      <c r="Y284" s="87"/>
      <c r="Z284" s="87"/>
      <c r="AA284" s="87"/>
    </row>
    <row r="285" ht="12" customHeight="1" spans="1:27">
      <c r="A285" s="87"/>
      <c r="B285" s="87"/>
      <c r="C285" s="87"/>
      <c r="D285" s="87"/>
      <c r="E285" s="203"/>
      <c r="F285" s="87"/>
      <c r="G285" s="204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155"/>
      <c r="S285" s="156"/>
      <c r="T285" s="157"/>
      <c r="U285" s="173"/>
      <c r="V285" s="157"/>
      <c r="W285" s="157"/>
      <c r="X285" s="87"/>
      <c r="Y285" s="87"/>
      <c r="Z285" s="87"/>
      <c r="AA285" s="87"/>
    </row>
    <row r="286" ht="12" customHeight="1" spans="1:27">
      <c r="A286" s="87"/>
      <c r="B286" s="87"/>
      <c r="C286" s="87"/>
      <c r="D286" s="87"/>
      <c r="E286" s="203"/>
      <c r="F286" s="87"/>
      <c r="G286" s="204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155"/>
      <c r="S286" s="156"/>
      <c r="T286" s="157"/>
      <c r="U286" s="173"/>
      <c r="V286" s="157"/>
      <c r="W286" s="157"/>
      <c r="X286" s="87"/>
      <c r="Y286" s="87"/>
      <c r="Z286" s="87"/>
      <c r="AA286" s="87"/>
    </row>
    <row r="287" ht="12" customHeight="1" spans="1:27">
      <c r="A287" s="87"/>
      <c r="B287" s="87"/>
      <c r="C287" s="87"/>
      <c r="D287" s="87"/>
      <c r="E287" s="203"/>
      <c r="F287" s="87"/>
      <c r="G287" s="204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155"/>
      <c r="S287" s="156"/>
      <c r="T287" s="157"/>
      <c r="U287" s="173"/>
      <c r="V287" s="157"/>
      <c r="W287" s="157"/>
      <c r="X287" s="87"/>
      <c r="Y287" s="87"/>
      <c r="Z287" s="87"/>
      <c r="AA287" s="87"/>
    </row>
    <row r="288" ht="12" customHeight="1" spans="1:27">
      <c r="A288" s="87"/>
      <c r="B288" s="87"/>
      <c r="C288" s="87"/>
      <c r="D288" s="87"/>
      <c r="E288" s="203"/>
      <c r="F288" s="87"/>
      <c r="G288" s="204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155"/>
      <c r="S288" s="156"/>
      <c r="T288" s="157"/>
      <c r="U288" s="173"/>
      <c r="V288" s="157"/>
      <c r="W288" s="157"/>
      <c r="X288" s="87"/>
      <c r="Y288" s="87"/>
      <c r="Z288" s="87"/>
      <c r="AA288" s="87"/>
    </row>
    <row r="289" ht="12" customHeight="1" spans="1:27">
      <c r="A289" s="87"/>
      <c r="B289" s="87"/>
      <c r="C289" s="87"/>
      <c r="D289" s="87"/>
      <c r="E289" s="203"/>
      <c r="F289" s="87"/>
      <c r="G289" s="204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155"/>
      <c r="S289" s="156"/>
      <c r="T289" s="157"/>
      <c r="U289" s="173"/>
      <c r="V289" s="157"/>
      <c r="W289" s="157"/>
      <c r="X289" s="87"/>
      <c r="Y289" s="87"/>
      <c r="Z289" s="87"/>
      <c r="AA289" s="87"/>
    </row>
    <row r="290" ht="12" customHeight="1" spans="1:27">
      <c r="A290" s="87"/>
      <c r="B290" s="87"/>
      <c r="C290" s="87"/>
      <c r="D290" s="87"/>
      <c r="E290" s="203"/>
      <c r="F290" s="87"/>
      <c r="G290" s="204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155"/>
      <c r="S290" s="156"/>
      <c r="T290" s="157"/>
      <c r="U290" s="173"/>
      <c r="V290" s="157"/>
      <c r="W290" s="157"/>
      <c r="X290" s="87"/>
      <c r="Y290" s="87"/>
      <c r="Z290" s="87"/>
      <c r="AA290" s="87"/>
    </row>
    <row r="291" ht="12" customHeight="1" spans="1:27">
      <c r="A291" s="87"/>
      <c r="B291" s="87"/>
      <c r="C291" s="87"/>
      <c r="D291" s="87"/>
      <c r="E291" s="203"/>
      <c r="F291" s="87"/>
      <c r="G291" s="204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155"/>
      <c r="S291" s="156"/>
      <c r="T291" s="157"/>
      <c r="U291" s="173"/>
      <c r="V291" s="157"/>
      <c r="W291" s="157"/>
      <c r="X291" s="87"/>
      <c r="Y291" s="87"/>
      <c r="Z291" s="87"/>
      <c r="AA291" s="87"/>
    </row>
    <row r="292" ht="12" customHeight="1" spans="1:27">
      <c r="A292" s="87"/>
      <c r="B292" s="87"/>
      <c r="C292" s="87"/>
      <c r="D292" s="87"/>
      <c r="E292" s="203"/>
      <c r="F292" s="87"/>
      <c r="G292" s="204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155"/>
      <c r="S292" s="156"/>
      <c r="T292" s="157"/>
      <c r="U292" s="173"/>
      <c r="V292" s="157"/>
      <c r="W292" s="157"/>
      <c r="X292" s="87"/>
      <c r="Y292" s="87"/>
      <c r="Z292" s="87"/>
      <c r="AA292" s="87"/>
    </row>
    <row r="293" ht="12" customHeight="1" spans="1:27">
      <c r="A293" s="87"/>
      <c r="B293" s="87"/>
      <c r="C293" s="87"/>
      <c r="D293" s="87"/>
      <c r="E293" s="203"/>
      <c r="F293" s="87"/>
      <c r="G293" s="204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155"/>
      <c r="S293" s="156"/>
      <c r="T293" s="157"/>
      <c r="U293" s="173"/>
      <c r="V293" s="157"/>
      <c r="W293" s="157"/>
      <c r="X293" s="87"/>
      <c r="Y293" s="87"/>
      <c r="Z293" s="87"/>
      <c r="AA293" s="87"/>
    </row>
    <row r="294" ht="12" customHeight="1" spans="1:27">
      <c r="A294" s="87"/>
      <c r="B294" s="87"/>
      <c r="C294" s="87"/>
      <c r="D294" s="87"/>
      <c r="E294" s="203"/>
      <c r="F294" s="87"/>
      <c r="G294" s="204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155"/>
      <c r="S294" s="156"/>
      <c r="T294" s="157"/>
      <c r="U294" s="173"/>
      <c r="V294" s="157"/>
      <c r="W294" s="157"/>
      <c r="X294" s="87"/>
      <c r="Y294" s="87"/>
      <c r="Z294" s="87"/>
      <c r="AA294" s="87"/>
    </row>
    <row r="295" ht="12" customHeight="1" spans="1:27">
      <c r="A295" s="87"/>
      <c r="B295" s="87"/>
      <c r="C295" s="87"/>
      <c r="D295" s="87"/>
      <c r="E295" s="203"/>
      <c r="F295" s="87"/>
      <c r="G295" s="204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155"/>
      <c r="S295" s="156"/>
      <c r="T295" s="157"/>
      <c r="U295" s="173"/>
      <c r="V295" s="157"/>
      <c r="W295" s="157"/>
      <c r="X295" s="87"/>
      <c r="Y295" s="87"/>
      <c r="Z295" s="87"/>
      <c r="AA295" s="87"/>
    </row>
    <row r="296" ht="12" customHeight="1" spans="1:27">
      <c r="A296" s="87"/>
      <c r="B296" s="87"/>
      <c r="C296" s="87"/>
      <c r="D296" s="87"/>
      <c r="E296" s="203"/>
      <c r="F296" s="87"/>
      <c r="G296" s="204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155"/>
      <c r="S296" s="156"/>
      <c r="T296" s="157"/>
      <c r="U296" s="173"/>
      <c r="V296" s="157"/>
      <c r="W296" s="157"/>
      <c r="X296" s="87"/>
      <c r="Y296" s="87"/>
      <c r="Z296" s="87"/>
      <c r="AA296" s="87"/>
    </row>
    <row r="297" ht="12" customHeight="1" spans="1:27">
      <c r="A297" s="87"/>
      <c r="B297" s="87"/>
      <c r="C297" s="87"/>
      <c r="D297" s="87"/>
      <c r="E297" s="203"/>
      <c r="F297" s="87"/>
      <c r="G297" s="204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155"/>
      <c r="S297" s="156"/>
      <c r="T297" s="157"/>
      <c r="U297" s="173"/>
      <c r="V297" s="157"/>
      <c r="W297" s="157"/>
      <c r="X297" s="87"/>
      <c r="Y297" s="87"/>
      <c r="Z297" s="87"/>
      <c r="AA297" s="87"/>
    </row>
    <row r="298" ht="12" customHeight="1" spans="1:27">
      <c r="A298" s="87"/>
      <c r="B298" s="87"/>
      <c r="C298" s="87"/>
      <c r="D298" s="87"/>
      <c r="E298" s="203"/>
      <c r="F298" s="87"/>
      <c r="G298" s="204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155"/>
      <c r="S298" s="156"/>
      <c r="T298" s="157"/>
      <c r="U298" s="173"/>
      <c r="V298" s="157"/>
      <c r="W298" s="157"/>
      <c r="X298" s="87"/>
      <c r="Y298" s="87"/>
      <c r="Z298" s="87"/>
      <c r="AA298" s="87"/>
    </row>
    <row r="299" ht="12" customHeight="1" spans="1:27">
      <c r="A299" s="87"/>
      <c r="B299" s="87"/>
      <c r="C299" s="87"/>
      <c r="D299" s="87"/>
      <c r="E299" s="203"/>
      <c r="F299" s="87"/>
      <c r="G299" s="204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155"/>
      <c r="S299" s="156"/>
      <c r="T299" s="157"/>
      <c r="U299" s="173"/>
      <c r="V299" s="157"/>
      <c r="W299" s="157"/>
      <c r="X299" s="87"/>
      <c r="Y299" s="87"/>
      <c r="Z299" s="87"/>
      <c r="AA299" s="87"/>
    </row>
    <row r="300" ht="12" customHeight="1" spans="1:27">
      <c r="A300" s="87"/>
      <c r="B300" s="87"/>
      <c r="C300" s="87"/>
      <c r="D300" s="87"/>
      <c r="E300" s="203"/>
      <c r="F300" s="87"/>
      <c r="G300" s="204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155"/>
      <c r="S300" s="156"/>
      <c r="T300" s="157"/>
      <c r="U300" s="173"/>
      <c r="V300" s="157"/>
      <c r="W300" s="157"/>
      <c r="X300" s="87"/>
      <c r="Y300" s="87"/>
      <c r="Z300" s="87"/>
      <c r="AA300" s="87"/>
    </row>
    <row r="301" ht="12" customHeight="1" spans="1:27">
      <c r="A301" s="87"/>
      <c r="B301" s="87"/>
      <c r="C301" s="87"/>
      <c r="D301" s="87"/>
      <c r="E301" s="203"/>
      <c r="F301" s="87"/>
      <c r="G301" s="204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155"/>
      <c r="S301" s="156"/>
      <c r="T301" s="157"/>
      <c r="U301" s="173"/>
      <c r="V301" s="157"/>
      <c r="W301" s="157"/>
      <c r="X301" s="87"/>
      <c r="Y301" s="87"/>
      <c r="Z301" s="87"/>
      <c r="AA301" s="87"/>
    </row>
    <row r="302" ht="12" customHeight="1" spans="1:27">
      <c r="A302" s="87"/>
      <c r="B302" s="87"/>
      <c r="C302" s="87"/>
      <c r="D302" s="87"/>
      <c r="E302" s="203"/>
      <c r="F302" s="87"/>
      <c r="G302" s="204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155"/>
      <c r="S302" s="156"/>
      <c r="T302" s="157"/>
      <c r="U302" s="173"/>
      <c r="V302" s="157"/>
      <c r="W302" s="157"/>
      <c r="X302" s="87"/>
      <c r="Y302" s="87"/>
      <c r="Z302" s="87"/>
      <c r="AA302" s="87"/>
    </row>
    <row r="303" ht="12" customHeight="1" spans="1:27">
      <c r="A303" s="87"/>
      <c r="B303" s="87"/>
      <c r="C303" s="87"/>
      <c r="D303" s="87"/>
      <c r="E303" s="203"/>
      <c r="F303" s="87"/>
      <c r="G303" s="204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155"/>
      <c r="S303" s="156"/>
      <c r="T303" s="157"/>
      <c r="U303" s="173"/>
      <c r="V303" s="157"/>
      <c r="W303" s="157"/>
      <c r="X303" s="87"/>
      <c r="Y303" s="87"/>
      <c r="Z303" s="87"/>
      <c r="AA303" s="87"/>
    </row>
    <row r="304" ht="12" customHeight="1" spans="1:27">
      <c r="A304" s="87"/>
      <c r="B304" s="87"/>
      <c r="C304" s="87"/>
      <c r="D304" s="87"/>
      <c r="E304" s="203"/>
      <c r="F304" s="87"/>
      <c r="G304" s="204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155"/>
      <c r="S304" s="156"/>
      <c r="T304" s="157"/>
      <c r="U304" s="173"/>
      <c r="V304" s="157"/>
      <c r="W304" s="157"/>
      <c r="X304" s="87"/>
      <c r="Y304" s="87"/>
      <c r="Z304" s="87"/>
      <c r="AA304" s="87"/>
    </row>
    <row r="305" ht="12" customHeight="1" spans="1:27">
      <c r="A305" s="87"/>
      <c r="B305" s="87"/>
      <c r="C305" s="87"/>
      <c r="D305" s="87"/>
      <c r="E305" s="203"/>
      <c r="F305" s="87"/>
      <c r="G305" s="204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155"/>
      <c r="S305" s="156"/>
      <c r="T305" s="157"/>
      <c r="U305" s="173"/>
      <c r="V305" s="157"/>
      <c r="W305" s="157"/>
      <c r="X305" s="87"/>
      <c r="Y305" s="87"/>
      <c r="Z305" s="87"/>
      <c r="AA305" s="87"/>
    </row>
    <row r="306" ht="12" customHeight="1" spans="1:27">
      <c r="A306" s="87"/>
      <c r="B306" s="87"/>
      <c r="C306" s="87"/>
      <c r="D306" s="87"/>
      <c r="E306" s="203"/>
      <c r="F306" s="87"/>
      <c r="G306" s="204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155"/>
      <c r="S306" s="156"/>
      <c r="T306" s="157"/>
      <c r="U306" s="173"/>
      <c r="V306" s="157"/>
      <c r="W306" s="157"/>
      <c r="X306" s="87"/>
      <c r="Y306" s="87"/>
      <c r="Z306" s="87"/>
      <c r="AA306" s="87"/>
    </row>
    <row r="307" ht="12" customHeight="1" spans="1:27">
      <c r="A307" s="87"/>
      <c r="B307" s="87"/>
      <c r="C307" s="87"/>
      <c r="D307" s="87"/>
      <c r="E307" s="203"/>
      <c r="F307" s="87"/>
      <c r="G307" s="204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155"/>
      <c r="S307" s="156"/>
      <c r="T307" s="157"/>
      <c r="U307" s="173"/>
      <c r="V307" s="157"/>
      <c r="W307" s="157"/>
      <c r="X307" s="87"/>
      <c r="Y307" s="87"/>
      <c r="Z307" s="87"/>
      <c r="AA307" s="87"/>
    </row>
    <row r="308" ht="12" customHeight="1" spans="1:27">
      <c r="A308" s="87"/>
      <c r="B308" s="87"/>
      <c r="C308" s="87"/>
      <c r="D308" s="87"/>
      <c r="E308" s="203"/>
      <c r="F308" s="87"/>
      <c r="G308" s="204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155"/>
      <c r="S308" s="156"/>
      <c r="T308" s="157"/>
      <c r="U308" s="173"/>
      <c r="V308" s="157"/>
      <c r="W308" s="157"/>
      <c r="X308" s="87"/>
      <c r="Y308" s="87"/>
      <c r="Z308" s="87"/>
      <c r="AA308" s="87"/>
    </row>
    <row r="309" ht="12" customHeight="1" spans="1:27">
      <c r="A309" s="87"/>
      <c r="B309" s="87"/>
      <c r="C309" s="87"/>
      <c r="D309" s="87"/>
      <c r="E309" s="203"/>
      <c r="F309" s="87"/>
      <c r="G309" s="204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155"/>
      <c r="S309" s="156"/>
      <c r="T309" s="157"/>
      <c r="U309" s="173"/>
      <c r="V309" s="157"/>
      <c r="W309" s="157"/>
      <c r="X309" s="87"/>
      <c r="Y309" s="87"/>
      <c r="Z309" s="87"/>
      <c r="AA309" s="87"/>
    </row>
    <row r="310" ht="12" customHeight="1" spans="1:27">
      <c r="A310" s="87"/>
      <c r="B310" s="87"/>
      <c r="C310" s="87"/>
      <c r="D310" s="87"/>
      <c r="E310" s="203"/>
      <c r="F310" s="87"/>
      <c r="G310" s="204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155"/>
      <c r="S310" s="156"/>
      <c r="T310" s="157"/>
      <c r="U310" s="173"/>
      <c r="V310" s="157"/>
      <c r="W310" s="157"/>
      <c r="X310" s="87"/>
      <c r="Y310" s="87"/>
      <c r="Z310" s="87"/>
      <c r="AA310" s="87"/>
    </row>
    <row r="311" ht="12" customHeight="1" spans="1:27">
      <c r="A311" s="87"/>
      <c r="B311" s="87"/>
      <c r="C311" s="87"/>
      <c r="D311" s="87"/>
      <c r="E311" s="203"/>
      <c r="F311" s="87"/>
      <c r="G311" s="204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155"/>
      <c r="S311" s="156"/>
      <c r="T311" s="157"/>
      <c r="U311" s="173"/>
      <c r="V311" s="157"/>
      <c r="W311" s="157"/>
      <c r="X311" s="87"/>
      <c r="Y311" s="87"/>
      <c r="Z311" s="87"/>
      <c r="AA311" s="87"/>
    </row>
    <row r="312" ht="12" customHeight="1" spans="1:27">
      <c r="A312" s="87"/>
      <c r="B312" s="87"/>
      <c r="C312" s="87"/>
      <c r="D312" s="87"/>
      <c r="E312" s="203"/>
      <c r="F312" s="87"/>
      <c r="G312" s="204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155"/>
      <c r="S312" s="156"/>
      <c r="T312" s="157"/>
      <c r="U312" s="173"/>
      <c r="V312" s="157"/>
      <c r="W312" s="157"/>
      <c r="X312" s="87"/>
      <c r="Y312" s="87"/>
      <c r="Z312" s="87"/>
      <c r="AA312" s="87"/>
    </row>
    <row r="313" ht="12" customHeight="1" spans="1:27">
      <c r="A313" s="87"/>
      <c r="B313" s="87"/>
      <c r="C313" s="87"/>
      <c r="D313" s="87"/>
      <c r="E313" s="203"/>
      <c r="F313" s="87"/>
      <c r="G313" s="204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155"/>
      <c r="S313" s="156"/>
      <c r="T313" s="157"/>
      <c r="U313" s="173"/>
      <c r="V313" s="157"/>
      <c r="W313" s="157"/>
      <c r="X313" s="87"/>
      <c r="Y313" s="87"/>
      <c r="Z313" s="87"/>
      <c r="AA313" s="87"/>
    </row>
    <row r="314" ht="12" customHeight="1" spans="1:27">
      <c r="A314" s="87"/>
      <c r="B314" s="87"/>
      <c r="C314" s="87"/>
      <c r="D314" s="87"/>
      <c r="E314" s="203"/>
      <c r="F314" s="87"/>
      <c r="G314" s="204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155"/>
      <c r="S314" s="156"/>
      <c r="T314" s="157"/>
      <c r="U314" s="173"/>
      <c r="V314" s="157"/>
      <c r="W314" s="157"/>
      <c r="X314" s="87"/>
      <c r="Y314" s="87"/>
      <c r="Z314" s="87"/>
      <c r="AA314" s="87"/>
    </row>
    <row r="315" ht="12" customHeight="1" spans="1:27">
      <c r="A315" s="87"/>
      <c r="B315" s="87"/>
      <c r="C315" s="87"/>
      <c r="D315" s="87"/>
      <c r="E315" s="203"/>
      <c r="F315" s="87"/>
      <c r="G315" s="204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155"/>
      <c r="S315" s="156"/>
      <c r="T315" s="157"/>
      <c r="U315" s="173"/>
      <c r="V315" s="157"/>
      <c r="W315" s="157"/>
      <c r="X315" s="87"/>
      <c r="Y315" s="87"/>
      <c r="Z315" s="87"/>
      <c r="AA315" s="87"/>
    </row>
    <row r="316" ht="12" customHeight="1" spans="1:27">
      <c r="A316" s="87"/>
      <c r="B316" s="87"/>
      <c r="C316" s="87"/>
      <c r="D316" s="87"/>
      <c r="E316" s="203"/>
      <c r="F316" s="87"/>
      <c r="G316" s="204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155"/>
      <c r="S316" s="156"/>
      <c r="T316" s="157"/>
      <c r="U316" s="173"/>
      <c r="V316" s="157"/>
      <c r="W316" s="157"/>
      <c r="X316" s="87"/>
      <c r="Y316" s="87"/>
      <c r="Z316" s="87"/>
      <c r="AA316" s="87"/>
    </row>
    <row r="317" ht="12" customHeight="1" spans="1:27">
      <c r="A317" s="87"/>
      <c r="B317" s="87"/>
      <c r="C317" s="87"/>
      <c r="D317" s="87"/>
      <c r="E317" s="203"/>
      <c r="F317" s="87"/>
      <c r="G317" s="204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155"/>
      <c r="S317" s="156"/>
      <c r="T317" s="157"/>
      <c r="U317" s="173"/>
      <c r="V317" s="157"/>
      <c r="W317" s="157"/>
      <c r="X317" s="87"/>
      <c r="Y317" s="87"/>
      <c r="Z317" s="87"/>
      <c r="AA317" s="87"/>
    </row>
    <row r="318" ht="12" customHeight="1" spans="1:27">
      <c r="A318" s="87"/>
      <c r="B318" s="87"/>
      <c r="C318" s="87"/>
      <c r="D318" s="87"/>
      <c r="E318" s="203"/>
      <c r="F318" s="87"/>
      <c r="G318" s="204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155"/>
      <c r="S318" s="156"/>
      <c r="T318" s="157"/>
      <c r="U318" s="173"/>
      <c r="V318" s="157"/>
      <c r="W318" s="157"/>
      <c r="X318" s="87"/>
      <c r="Y318" s="87"/>
      <c r="Z318" s="87"/>
      <c r="AA318" s="87"/>
    </row>
    <row r="319" ht="12" customHeight="1" spans="1:27">
      <c r="A319" s="87"/>
      <c r="B319" s="87"/>
      <c r="C319" s="87"/>
      <c r="D319" s="87"/>
      <c r="E319" s="203"/>
      <c r="F319" s="87"/>
      <c r="G319" s="204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155"/>
      <c r="S319" s="156"/>
      <c r="T319" s="157"/>
      <c r="U319" s="173"/>
      <c r="V319" s="157"/>
      <c r="W319" s="157"/>
      <c r="X319" s="87"/>
      <c r="Y319" s="87"/>
      <c r="Z319" s="87"/>
      <c r="AA319" s="87"/>
    </row>
    <row r="320" ht="12" customHeight="1" spans="1:27">
      <c r="A320" s="87"/>
      <c r="B320" s="87"/>
      <c r="C320" s="87"/>
      <c r="D320" s="87"/>
      <c r="E320" s="203"/>
      <c r="F320" s="87"/>
      <c r="G320" s="204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155"/>
      <c r="S320" s="156"/>
      <c r="T320" s="157"/>
      <c r="U320" s="173"/>
      <c r="V320" s="157"/>
      <c r="W320" s="157"/>
      <c r="X320" s="87"/>
      <c r="Y320" s="87"/>
      <c r="Z320" s="87"/>
      <c r="AA320" s="87"/>
    </row>
    <row r="321" ht="12" customHeight="1" spans="1:27">
      <c r="A321" s="87"/>
      <c r="B321" s="87"/>
      <c r="C321" s="87"/>
      <c r="D321" s="87"/>
      <c r="E321" s="203"/>
      <c r="F321" s="87"/>
      <c r="G321" s="204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155"/>
      <c r="S321" s="156"/>
      <c r="T321" s="157"/>
      <c r="U321" s="173"/>
      <c r="V321" s="157"/>
      <c r="W321" s="157"/>
      <c r="X321" s="87"/>
      <c r="Y321" s="87"/>
      <c r="Z321" s="87"/>
      <c r="AA321" s="87"/>
    </row>
    <row r="322" ht="12" customHeight="1" spans="1:27">
      <c r="A322" s="87"/>
      <c r="B322" s="87"/>
      <c r="C322" s="87"/>
      <c r="D322" s="87"/>
      <c r="E322" s="203"/>
      <c r="F322" s="87"/>
      <c r="G322" s="204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155"/>
      <c r="S322" s="156"/>
      <c r="T322" s="157"/>
      <c r="U322" s="173"/>
      <c r="V322" s="157"/>
      <c r="W322" s="157"/>
      <c r="X322" s="87"/>
      <c r="Y322" s="87"/>
      <c r="Z322" s="87"/>
      <c r="AA322" s="87"/>
    </row>
    <row r="323" ht="12" customHeight="1" spans="1:27">
      <c r="A323" s="87"/>
      <c r="B323" s="87"/>
      <c r="C323" s="87"/>
      <c r="D323" s="87"/>
      <c r="E323" s="203"/>
      <c r="F323" s="87"/>
      <c r="G323" s="204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155"/>
      <c r="S323" s="156"/>
      <c r="T323" s="157"/>
      <c r="U323" s="173"/>
      <c r="V323" s="157"/>
      <c r="W323" s="157"/>
      <c r="X323" s="87"/>
      <c r="Y323" s="87"/>
      <c r="Z323" s="87"/>
      <c r="AA323" s="87"/>
    </row>
    <row r="324" ht="12" customHeight="1" spans="1:27">
      <c r="A324" s="87"/>
      <c r="B324" s="87"/>
      <c r="C324" s="87"/>
      <c r="D324" s="87"/>
      <c r="E324" s="203"/>
      <c r="F324" s="87"/>
      <c r="G324" s="204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155"/>
      <c r="S324" s="156"/>
      <c r="T324" s="157"/>
      <c r="U324" s="173"/>
      <c r="V324" s="157"/>
      <c r="W324" s="157"/>
      <c r="X324" s="87"/>
      <c r="Y324" s="87"/>
      <c r="Z324" s="87"/>
      <c r="AA324" s="87"/>
    </row>
    <row r="325" ht="12" customHeight="1" spans="1:27">
      <c r="A325" s="87"/>
      <c r="B325" s="87"/>
      <c r="C325" s="87"/>
      <c r="D325" s="87"/>
      <c r="E325" s="203"/>
      <c r="F325" s="87"/>
      <c r="G325" s="204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155"/>
      <c r="S325" s="156"/>
      <c r="T325" s="157"/>
      <c r="U325" s="173"/>
      <c r="V325" s="157"/>
      <c r="W325" s="157"/>
      <c r="X325" s="87"/>
      <c r="Y325" s="87"/>
      <c r="Z325" s="87"/>
      <c r="AA325" s="87"/>
    </row>
    <row r="326" ht="12" customHeight="1" spans="1:27">
      <c r="A326" s="87"/>
      <c r="B326" s="87"/>
      <c r="C326" s="87"/>
      <c r="D326" s="87"/>
      <c r="E326" s="203"/>
      <c r="F326" s="87"/>
      <c r="G326" s="204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155"/>
      <c r="S326" s="156"/>
      <c r="T326" s="157"/>
      <c r="U326" s="173"/>
      <c r="V326" s="157"/>
      <c r="W326" s="157"/>
      <c r="X326" s="87"/>
      <c r="Y326" s="87"/>
      <c r="Z326" s="87"/>
      <c r="AA326" s="87"/>
    </row>
    <row r="327" ht="12" customHeight="1" spans="1:27">
      <c r="A327" s="87"/>
      <c r="B327" s="87"/>
      <c r="C327" s="87"/>
      <c r="D327" s="87"/>
      <c r="E327" s="203"/>
      <c r="F327" s="87"/>
      <c r="G327" s="204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155"/>
      <c r="S327" s="156"/>
      <c r="T327" s="157"/>
      <c r="U327" s="173"/>
      <c r="V327" s="157"/>
      <c r="W327" s="157"/>
      <c r="X327" s="87"/>
      <c r="Y327" s="87"/>
      <c r="Z327" s="87"/>
      <c r="AA327" s="87"/>
    </row>
    <row r="328" ht="12" customHeight="1" spans="1:27">
      <c r="A328" s="87"/>
      <c r="B328" s="87"/>
      <c r="C328" s="87"/>
      <c r="D328" s="87"/>
      <c r="E328" s="203"/>
      <c r="F328" s="87"/>
      <c r="G328" s="204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155"/>
      <c r="S328" s="156"/>
      <c r="T328" s="157"/>
      <c r="U328" s="173"/>
      <c r="V328" s="157"/>
      <c r="W328" s="157"/>
      <c r="X328" s="87"/>
      <c r="Y328" s="87"/>
      <c r="Z328" s="87"/>
      <c r="AA328" s="87"/>
    </row>
    <row r="329" ht="12" customHeight="1" spans="1:27">
      <c r="A329" s="87"/>
      <c r="B329" s="87"/>
      <c r="C329" s="87"/>
      <c r="D329" s="87"/>
      <c r="E329" s="203"/>
      <c r="F329" s="87"/>
      <c r="G329" s="204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155"/>
      <c r="S329" s="156"/>
      <c r="T329" s="157"/>
      <c r="U329" s="173"/>
      <c r="V329" s="157"/>
      <c r="W329" s="157"/>
      <c r="X329" s="87"/>
      <c r="Y329" s="87"/>
      <c r="Z329" s="87"/>
      <c r="AA329" s="87"/>
    </row>
    <row r="330" ht="12" customHeight="1" spans="1:27">
      <c r="A330" s="87"/>
      <c r="B330" s="87"/>
      <c r="C330" s="87"/>
      <c r="D330" s="87"/>
      <c r="E330" s="203"/>
      <c r="F330" s="87"/>
      <c r="G330" s="204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155"/>
      <c r="S330" s="156"/>
      <c r="T330" s="157"/>
      <c r="U330" s="173"/>
      <c r="V330" s="157"/>
      <c r="W330" s="157"/>
      <c r="X330" s="87"/>
      <c r="Y330" s="87"/>
      <c r="Z330" s="87"/>
      <c r="AA330" s="87"/>
    </row>
    <row r="331" ht="12" customHeight="1" spans="1:27">
      <c r="A331" s="87"/>
      <c r="B331" s="87"/>
      <c r="C331" s="87"/>
      <c r="D331" s="87"/>
      <c r="E331" s="203"/>
      <c r="F331" s="87"/>
      <c r="G331" s="204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155"/>
      <c r="S331" s="156"/>
      <c r="T331" s="157"/>
      <c r="U331" s="173"/>
      <c r="V331" s="157"/>
      <c r="W331" s="157"/>
      <c r="X331" s="87"/>
      <c r="Y331" s="87"/>
      <c r="Z331" s="87"/>
      <c r="AA331" s="87"/>
    </row>
    <row r="332" ht="12" customHeight="1" spans="1:27">
      <c r="A332" s="87"/>
      <c r="B332" s="87"/>
      <c r="C332" s="87"/>
      <c r="D332" s="87"/>
      <c r="E332" s="203"/>
      <c r="F332" s="87"/>
      <c r="G332" s="204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155"/>
      <c r="S332" s="156"/>
      <c r="T332" s="157"/>
      <c r="U332" s="173"/>
      <c r="V332" s="157"/>
      <c r="W332" s="157"/>
      <c r="X332" s="87"/>
      <c r="Y332" s="87"/>
      <c r="Z332" s="87"/>
      <c r="AA332" s="87"/>
    </row>
    <row r="333" ht="12" customHeight="1" spans="1:27">
      <c r="A333" s="87"/>
      <c r="B333" s="87"/>
      <c r="C333" s="87"/>
      <c r="D333" s="87"/>
      <c r="E333" s="203"/>
      <c r="F333" s="87"/>
      <c r="G333" s="204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155"/>
      <c r="S333" s="156"/>
      <c r="T333" s="157"/>
      <c r="U333" s="173"/>
      <c r="V333" s="157"/>
      <c r="W333" s="157"/>
      <c r="X333" s="87"/>
      <c r="Y333" s="87"/>
      <c r="Z333" s="87"/>
      <c r="AA333" s="87"/>
    </row>
    <row r="334" ht="12" customHeight="1" spans="1:27">
      <c r="A334" s="87"/>
      <c r="B334" s="87"/>
      <c r="C334" s="87"/>
      <c r="D334" s="87"/>
      <c r="E334" s="203"/>
      <c r="F334" s="87"/>
      <c r="G334" s="204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155"/>
      <c r="S334" s="156"/>
      <c r="T334" s="157"/>
      <c r="U334" s="173"/>
      <c r="V334" s="157"/>
      <c r="W334" s="157"/>
      <c r="X334" s="87"/>
      <c r="Y334" s="87"/>
      <c r="Z334" s="87"/>
      <c r="AA334" s="87"/>
    </row>
    <row r="335" ht="12" customHeight="1" spans="1:27">
      <c r="A335" s="87"/>
      <c r="B335" s="87"/>
      <c r="C335" s="87"/>
      <c r="D335" s="87"/>
      <c r="E335" s="203"/>
      <c r="F335" s="87"/>
      <c r="G335" s="204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155"/>
      <c r="S335" s="156"/>
      <c r="T335" s="157"/>
      <c r="U335" s="173"/>
      <c r="V335" s="157"/>
      <c r="W335" s="157"/>
      <c r="X335" s="87"/>
      <c r="Y335" s="87"/>
      <c r="Z335" s="87"/>
      <c r="AA335" s="87"/>
    </row>
    <row r="336" ht="12" customHeight="1" spans="1:27">
      <c r="A336" s="87"/>
      <c r="B336" s="87"/>
      <c r="C336" s="87"/>
      <c r="D336" s="87"/>
      <c r="E336" s="203"/>
      <c r="F336" s="87"/>
      <c r="G336" s="204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155"/>
      <c r="S336" s="156"/>
      <c r="T336" s="157"/>
      <c r="U336" s="173"/>
      <c r="V336" s="157"/>
      <c r="W336" s="157"/>
      <c r="X336" s="87"/>
      <c r="Y336" s="87"/>
      <c r="Z336" s="87"/>
      <c r="AA336" s="87"/>
    </row>
    <row r="337" ht="12" customHeight="1" spans="1:27">
      <c r="A337" s="87"/>
      <c r="B337" s="87"/>
      <c r="C337" s="87"/>
      <c r="D337" s="87"/>
      <c r="E337" s="203"/>
      <c r="F337" s="87"/>
      <c r="G337" s="204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155"/>
      <c r="S337" s="156"/>
      <c r="T337" s="157"/>
      <c r="U337" s="173"/>
      <c r="V337" s="157"/>
      <c r="W337" s="157"/>
      <c r="X337" s="87"/>
      <c r="Y337" s="87"/>
      <c r="Z337" s="87"/>
      <c r="AA337" s="87"/>
    </row>
    <row r="338" ht="12" customHeight="1" spans="1:27">
      <c r="A338" s="87"/>
      <c r="B338" s="87"/>
      <c r="C338" s="87"/>
      <c r="D338" s="87"/>
      <c r="E338" s="203"/>
      <c r="F338" s="87"/>
      <c r="G338" s="204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155"/>
      <c r="S338" s="156"/>
      <c r="T338" s="157"/>
      <c r="U338" s="173"/>
      <c r="V338" s="157"/>
      <c r="W338" s="157"/>
      <c r="X338" s="87"/>
      <c r="Y338" s="87"/>
      <c r="Z338" s="87"/>
      <c r="AA338" s="87"/>
    </row>
    <row r="339" ht="12" customHeight="1" spans="1:27">
      <c r="A339" s="87"/>
      <c r="B339" s="87"/>
      <c r="C339" s="87"/>
      <c r="D339" s="87"/>
      <c r="E339" s="203"/>
      <c r="F339" s="87"/>
      <c r="G339" s="204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155"/>
      <c r="S339" s="156"/>
      <c r="T339" s="157"/>
      <c r="U339" s="173"/>
      <c r="V339" s="157"/>
      <c r="W339" s="157"/>
      <c r="X339" s="87"/>
      <c r="Y339" s="87"/>
      <c r="Z339" s="87"/>
      <c r="AA339" s="87"/>
    </row>
    <row r="340" ht="12" customHeight="1" spans="1:27">
      <c r="A340" s="87"/>
      <c r="B340" s="87"/>
      <c r="C340" s="87"/>
      <c r="D340" s="87"/>
      <c r="E340" s="203"/>
      <c r="F340" s="87"/>
      <c r="G340" s="204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155"/>
      <c r="S340" s="156"/>
      <c r="T340" s="157"/>
      <c r="U340" s="173"/>
      <c r="V340" s="157"/>
      <c r="W340" s="157"/>
      <c r="X340" s="87"/>
      <c r="Y340" s="87"/>
      <c r="Z340" s="87"/>
      <c r="AA340" s="87"/>
    </row>
    <row r="341" ht="12" customHeight="1" spans="1:27">
      <c r="A341" s="87"/>
      <c r="B341" s="87"/>
      <c r="C341" s="87"/>
      <c r="D341" s="87"/>
      <c r="E341" s="203"/>
      <c r="F341" s="87"/>
      <c r="G341" s="204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155"/>
      <c r="S341" s="156"/>
      <c r="T341" s="157"/>
      <c r="U341" s="173"/>
      <c r="V341" s="157"/>
      <c r="W341" s="157"/>
      <c r="X341" s="87"/>
      <c r="Y341" s="87"/>
      <c r="Z341" s="87"/>
      <c r="AA341" s="87"/>
    </row>
    <row r="342" ht="12" customHeight="1" spans="1:27">
      <c r="A342" s="87"/>
      <c r="B342" s="87"/>
      <c r="C342" s="87"/>
      <c r="D342" s="87"/>
      <c r="E342" s="203"/>
      <c r="F342" s="87"/>
      <c r="G342" s="204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155"/>
      <c r="S342" s="156"/>
      <c r="T342" s="157"/>
      <c r="U342" s="173"/>
      <c r="V342" s="157"/>
      <c r="W342" s="157"/>
      <c r="X342" s="87"/>
      <c r="Y342" s="87"/>
      <c r="Z342" s="87"/>
      <c r="AA342" s="87"/>
    </row>
    <row r="343" ht="12" customHeight="1" spans="1:27">
      <c r="A343" s="87"/>
      <c r="B343" s="87"/>
      <c r="C343" s="87"/>
      <c r="D343" s="87"/>
      <c r="E343" s="203"/>
      <c r="F343" s="87"/>
      <c r="G343" s="204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155"/>
      <c r="S343" s="156"/>
      <c r="T343" s="157"/>
      <c r="U343" s="173"/>
      <c r="V343" s="157"/>
      <c r="W343" s="157"/>
      <c r="X343" s="87"/>
      <c r="Y343" s="87"/>
      <c r="Z343" s="87"/>
      <c r="AA343" s="87"/>
    </row>
    <row r="344" ht="12" customHeight="1" spans="1:27">
      <c r="A344" s="87"/>
      <c r="B344" s="87"/>
      <c r="C344" s="87"/>
      <c r="D344" s="87"/>
      <c r="E344" s="203"/>
      <c r="F344" s="87"/>
      <c r="G344" s="204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155"/>
      <c r="S344" s="156"/>
      <c r="T344" s="157"/>
      <c r="U344" s="173"/>
      <c r="V344" s="157"/>
      <c r="W344" s="157"/>
      <c r="X344" s="87"/>
      <c r="Y344" s="87"/>
      <c r="Z344" s="87"/>
      <c r="AA344" s="87"/>
    </row>
    <row r="345" ht="12" customHeight="1" spans="1:27">
      <c r="A345" s="87"/>
      <c r="B345" s="87"/>
      <c r="C345" s="87"/>
      <c r="D345" s="87"/>
      <c r="E345" s="203"/>
      <c r="F345" s="87"/>
      <c r="G345" s="204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155"/>
      <c r="S345" s="156"/>
      <c r="T345" s="157"/>
      <c r="U345" s="173"/>
      <c r="V345" s="157"/>
      <c r="W345" s="157"/>
      <c r="X345" s="87"/>
      <c r="Y345" s="87"/>
      <c r="Z345" s="87"/>
      <c r="AA345" s="87"/>
    </row>
    <row r="346" ht="12" customHeight="1" spans="1:27">
      <c r="A346" s="87"/>
      <c r="B346" s="87"/>
      <c r="C346" s="87"/>
      <c r="D346" s="87"/>
      <c r="E346" s="203"/>
      <c r="F346" s="87"/>
      <c r="G346" s="204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155"/>
      <c r="S346" s="156"/>
      <c r="T346" s="157"/>
      <c r="U346" s="173"/>
      <c r="V346" s="157"/>
      <c r="W346" s="157"/>
      <c r="X346" s="87"/>
      <c r="Y346" s="87"/>
      <c r="Z346" s="87"/>
      <c r="AA346" s="87"/>
    </row>
    <row r="347" ht="12" customHeight="1" spans="1:27">
      <c r="A347" s="87"/>
      <c r="B347" s="87"/>
      <c r="C347" s="87"/>
      <c r="D347" s="87"/>
      <c r="E347" s="203"/>
      <c r="F347" s="87"/>
      <c r="G347" s="204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155"/>
      <c r="S347" s="156"/>
      <c r="T347" s="157"/>
      <c r="U347" s="173"/>
      <c r="V347" s="157"/>
      <c r="W347" s="157"/>
      <c r="X347" s="87"/>
      <c r="Y347" s="87"/>
      <c r="Z347" s="87"/>
      <c r="AA347" s="87"/>
    </row>
    <row r="348" ht="12" customHeight="1" spans="1:27">
      <c r="A348" s="87"/>
      <c r="B348" s="87"/>
      <c r="C348" s="87"/>
      <c r="D348" s="87"/>
      <c r="E348" s="203"/>
      <c r="F348" s="87"/>
      <c r="G348" s="204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155"/>
      <c r="S348" s="156"/>
      <c r="T348" s="157"/>
      <c r="U348" s="173"/>
      <c r="V348" s="157"/>
      <c r="W348" s="157"/>
      <c r="X348" s="87"/>
      <c r="Y348" s="87"/>
      <c r="Z348" s="87"/>
      <c r="AA348" s="87"/>
    </row>
    <row r="349" ht="12" customHeight="1" spans="1:27">
      <c r="A349" s="87"/>
      <c r="B349" s="87"/>
      <c r="C349" s="87"/>
      <c r="D349" s="87"/>
      <c r="E349" s="203"/>
      <c r="F349" s="87"/>
      <c r="G349" s="204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155"/>
      <c r="S349" s="156"/>
      <c r="T349" s="157"/>
      <c r="U349" s="173"/>
      <c r="V349" s="157"/>
      <c r="W349" s="157"/>
      <c r="X349" s="87"/>
      <c r="Y349" s="87"/>
      <c r="Z349" s="87"/>
      <c r="AA349" s="87"/>
    </row>
    <row r="350" ht="12" customHeight="1" spans="1:27">
      <c r="A350" s="87"/>
      <c r="B350" s="87"/>
      <c r="C350" s="87"/>
      <c r="D350" s="87"/>
      <c r="E350" s="203"/>
      <c r="F350" s="87"/>
      <c r="G350" s="204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155"/>
      <c r="S350" s="156"/>
      <c r="T350" s="157"/>
      <c r="U350" s="173"/>
      <c r="V350" s="157"/>
      <c r="W350" s="157"/>
      <c r="X350" s="87"/>
      <c r="Y350" s="87"/>
      <c r="Z350" s="87"/>
      <c r="AA350" s="87"/>
    </row>
    <row r="351" ht="12" customHeight="1" spans="1:27">
      <c r="A351" s="87"/>
      <c r="B351" s="87"/>
      <c r="C351" s="87"/>
      <c r="D351" s="87"/>
      <c r="E351" s="203"/>
      <c r="F351" s="87"/>
      <c r="G351" s="204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155"/>
      <c r="S351" s="156"/>
      <c r="T351" s="157"/>
      <c r="U351" s="173"/>
      <c r="V351" s="157"/>
      <c r="W351" s="157"/>
      <c r="X351" s="87"/>
      <c r="Y351" s="87"/>
      <c r="Z351" s="87"/>
      <c r="AA351" s="87"/>
    </row>
    <row r="352" ht="12" customHeight="1" spans="1:27">
      <c r="A352" s="87"/>
      <c r="B352" s="87"/>
      <c r="C352" s="87"/>
      <c r="D352" s="87"/>
      <c r="E352" s="203"/>
      <c r="F352" s="87"/>
      <c r="G352" s="204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155"/>
      <c r="S352" s="156"/>
      <c r="T352" s="157"/>
      <c r="U352" s="173"/>
      <c r="V352" s="157"/>
      <c r="W352" s="157"/>
      <c r="X352" s="87"/>
      <c r="Y352" s="87"/>
      <c r="Z352" s="87"/>
      <c r="AA352" s="87"/>
    </row>
    <row r="353" ht="12" customHeight="1" spans="1:27">
      <c r="A353" s="87"/>
      <c r="B353" s="87"/>
      <c r="C353" s="87"/>
      <c r="D353" s="87"/>
      <c r="E353" s="203"/>
      <c r="F353" s="87"/>
      <c r="G353" s="204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155"/>
      <c r="S353" s="156"/>
      <c r="T353" s="157"/>
      <c r="U353" s="173"/>
      <c r="V353" s="157"/>
      <c r="W353" s="157"/>
      <c r="X353" s="87"/>
      <c r="Y353" s="87"/>
      <c r="Z353" s="87"/>
      <c r="AA353" s="87"/>
    </row>
    <row r="354" ht="12" customHeight="1" spans="1:27">
      <c r="A354" s="87"/>
      <c r="B354" s="87"/>
      <c r="C354" s="87"/>
      <c r="D354" s="87"/>
      <c r="E354" s="203"/>
      <c r="F354" s="87"/>
      <c r="G354" s="204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155"/>
      <c r="S354" s="156"/>
      <c r="T354" s="157"/>
      <c r="U354" s="173"/>
      <c r="V354" s="157"/>
      <c r="W354" s="157"/>
      <c r="X354" s="87"/>
      <c r="Y354" s="87"/>
      <c r="Z354" s="87"/>
      <c r="AA354" s="87"/>
    </row>
    <row r="355" ht="12" customHeight="1" spans="1:27">
      <c r="A355" s="87"/>
      <c r="B355" s="87"/>
      <c r="C355" s="87"/>
      <c r="D355" s="87"/>
      <c r="E355" s="203"/>
      <c r="F355" s="87"/>
      <c r="G355" s="204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155"/>
      <c r="S355" s="156"/>
      <c r="T355" s="157"/>
      <c r="U355" s="173"/>
      <c r="V355" s="157"/>
      <c r="W355" s="157"/>
      <c r="X355" s="87"/>
      <c r="Y355" s="87"/>
      <c r="Z355" s="87"/>
      <c r="AA355" s="87"/>
    </row>
    <row r="356" ht="12" customHeight="1" spans="1:27">
      <c r="A356" s="87"/>
      <c r="B356" s="87"/>
      <c r="C356" s="87"/>
      <c r="D356" s="87"/>
      <c r="E356" s="203"/>
      <c r="F356" s="87"/>
      <c r="G356" s="204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155"/>
      <c r="S356" s="156"/>
      <c r="T356" s="157"/>
      <c r="U356" s="173"/>
      <c r="V356" s="157"/>
      <c r="W356" s="157"/>
      <c r="X356" s="87"/>
      <c r="Y356" s="87"/>
      <c r="Z356" s="87"/>
      <c r="AA356" s="87"/>
    </row>
    <row r="357" ht="12" customHeight="1" spans="1:27">
      <c r="A357" s="87"/>
      <c r="B357" s="87"/>
      <c r="C357" s="87"/>
      <c r="D357" s="87"/>
      <c r="E357" s="203"/>
      <c r="F357" s="87"/>
      <c r="G357" s="204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155"/>
      <c r="S357" s="156"/>
      <c r="T357" s="157"/>
      <c r="U357" s="173"/>
      <c r="V357" s="157"/>
      <c r="W357" s="157"/>
      <c r="X357" s="87"/>
      <c r="Y357" s="87"/>
      <c r="Z357" s="87"/>
      <c r="AA357" s="87"/>
    </row>
    <row r="358" ht="12" customHeight="1" spans="1:27">
      <c r="A358" s="87"/>
      <c r="B358" s="87"/>
      <c r="C358" s="87"/>
      <c r="D358" s="87"/>
      <c r="E358" s="203"/>
      <c r="F358" s="87"/>
      <c r="G358" s="204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155"/>
      <c r="S358" s="156"/>
      <c r="T358" s="157"/>
      <c r="U358" s="173"/>
      <c r="V358" s="157"/>
      <c r="W358" s="157"/>
      <c r="X358" s="87"/>
      <c r="Y358" s="87"/>
      <c r="Z358" s="87"/>
      <c r="AA358" s="87"/>
    </row>
    <row r="359" ht="12" customHeight="1" spans="1:27">
      <c r="A359" s="87"/>
      <c r="B359" s="87"/>
      <c r="C359" s="87"/>
      <c r="D359" s="87"/>
      <c r="E359" s="203"/>
      <c r="F359" s="87"/>
      <c r="G359" s="204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155"/>
      <c r="S359" s="156"/>
      <c r="T359" s="157"/>
      <c r="U359" s="173"/>
      <c r="V359" s="157"/>
      <c r="W359" s="157"/>
      <c r="X359" s="87"/>
      <c r="Y359" s="87"/>
      <c r="Z359" s="87"/>
      <c r="AA359" s="87"/>
    </row>
    <row r="360" ht="12" customHeight="1" spans="1:27">
      <c r="A360" s="87"/>
      <c r="B360" s="87"/>
      <c r="C360" s="87"/>
      <c r="D360" s="87"/>
      <c r="E360" s="203"/>
      <c r="F360" s="87"/>
      <c r="G360" s="204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155"/>
      <c r="S360" s="156"/>
      <c r="T360" s="157"/>
      <c r="U360" s="173"/>
      <c r="V360" s="157"/>
      <c r="W360" s="157"/>
      <c r="X360" s="87"/>
      <c r="Y360" s="87"/>
      <c r="Z360" s="87"/>
      <c r="AA360" s="87"/>
    </row>
    <row r="361" ht="12" customHeight="1" spans="1:27">
      <c r="A361" s="87"/>
      <c r="B361" s="87"/>
      <c r="C361" s="87"/>
      <c r="D361" s="87"/>
      <c r="E361" s="203"/>
      <c r="F361" s="87"/>
      <c r="G361" s="204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155"/>
      <c r="S361" s="156"/>
      <c r="T361" s="157"/>
      <c r="U361" s="173"/>
      <c r="V361" s="157"/>
      <c r="W361" s="157"/>
      <c r="X361" s="87"/>
      <c r="Y361" s="87"/>
      <c r="Z361" s="87"/>
      <c r="AA361" s="87"/>
    </row>
    <row r="362" ht="12" customHeight="1" spans="1:27">
      <c r="A362" s="87"/>
      <c r="B362" s="87"/>
      <c r="C362" s="87"/>
      <c r="D362" s="87"/>
      <c r="E362" s="203"/>
      <c r="F362" s="87"/>
      <c r="G362" s="204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155"/>
      <c r="S362" s="156"/>
      <c r="T362" s="157"/>
      <c r="U362" s="173"/>
      <c r="V362" s="157"/>
      <c r="W362" s="157"/>
      <c r="X362" s="87"/>
      <c r="Y362" s="87"/>
      <c r="Z362" s="87"/>
      <c r="AA362" s="87"/>
    </row>
    <row r="363" ht="12" customHeight="1" spans="1:27">
      <c r="A363" s="87"/>
      <c r="B363" s="87"/>
      <c r="C363" s="87"/>
      <c r="D363" s="87"/>
      <c r="E363" s="203"/>
      <c r="F363" s="87"/>
      <c r="G363" s="204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155"/>
      <c r="S363" s="156"/>
      <c r="T363" s="157"/>
      <c r="U363" s="173"/>
      <c r="V363" s="157"/>
      <c r="W363" s="157"/>
      <c r="X363" s="87"/>
      <c r="Y363" s="87"/>
      <c r="Z363" s="87"/>
      <c r="AA363" s="87"/>
    </row>
    <row r="364" ht="12" customHeight="1" spans="1:27">
      <c r="A364" s="87"/>
      <c r="B364" s="87"/>
      <c r="C364" s="87"/>
      <c r="D364" s="87"/>
      <c r="E364" s="203"/>
      <c r="F364" s="87"/>
      <c r="G364" s="204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155"/>
      <c r="S364" s="156"/>
      <c r="T364" s="157"/>
      <c r="U364" s="173"/>
      <c r="V364" s="157"/>
      <c r="W364" s="157"/>
      <c r="X364" s="87"/>
      <c r="Y364" s="87"/>
      <c r="Z364" s="87"/>
      <c r="AA364" s="87"/>
    </row>
    <row r="365" ht="12" customHeight="1" spans="1:27">
      <c r="A365" s="87"/>
      <c r="B365" s="87"/>
      <c r="C365" s="87"/>
      <c r="D365" s="87"/>
      <c r="E365" s="203"/>
      <c r="F365" s="87"/>
      <c r="G365" s="204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155"/>
      <c r="S365" s="156"/>
      <c r="T365" s="157"/>
      <c r="U365" s="173"/>
      <c r="V365" s="157"/>
      <c r="W365" s="157"/>
      <c r="X365" s="87"/>
      <c r="Y365" s="87"/>
      <c r="Z365" s="87"/>
      <c r="AA365" s="87"/>
    </row>
    <row r="366" ht="12" customHeight="1" spans="1:27">
      <c r="A366" s="87"/>
      <c r="B366" s="87"/>
      <c r="C366" s="87"/>
      <c r="D366" s="87"/>
      <c r="E366" s="203"/>
      <c r="F366" s="87"/>
      <c r="G366" s="204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155"/>
      <c r="S366" s="156"/>
      <c r="T366" s="157"/>
      <c r="U366" s="173"/>
      <c r="V366" s="157"/>
      <c r="W366" s="157"/>
      <c r="X366" s="87"/>
      <c r="Y366" s="87"/>
      <c r="Z366" s="87"/>
      <c r="AA366" s="87"/>
    </row>
    <row r="367" ht="12" customHeight="1" spans="1:27">
      <c r="A367" s="87"/>
      <c r="B367" s="87"/>
      <c r="C367" s="87"/>
      <c r="D367" s="87"/>
      <c r="E367" s="203"/>
      <c r="F367" s="87"/>
      <c r="G367" s="204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155"/>
      <c r="S367" s="156"/>
      <c r="T367" s="157"/>
      <c r="U367" s="173"/>
      <c r="V367" s="157"/>
      <c r="W367" s="157"/>
      <c r="X367" s="87"/>
      <c r="Y367" s="87"/>
      <c r="Z367" s="87"/>
      <c r="AA367" s="87"/>
    </row>
    <row r="368" ht="12" customHeight="1" spans="1:27">
      <c r="A368" s="87"/>
      <c r="B368" s="87"/>
      <c r="C368" s="87"/>
      <c r="D368" s="87"/>
      <c r="E368" s="203"/>
      <c r="F368" s="87"/>
      <c r="G368" s="204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155"/>
      <c r="S368" s="156"/>
      <c r="T368" s="157"/>
      <c r="U368" s="173"/>
      <c r="V368" s="157"/>
      <c r="W368" s="157"/>
      <c r="X368" s="87"/>
      <c r="Y368" s="87"/>
      <c r="Z368" s="87"/>
      <c r="AA368" s="87"/>
    </row>
    <row r="369" ht="12" customHeight="1" spans="1:27">
      <c r="A369" s="87"/>
      <c r="B369" s="87"/>
      <c r="C369" s="87"/>
      <c r="D369" s="87"/>
      <c r="E369" s="203"/>
      <c r="F369" s="87"/>
      <c r="G369" s="204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155"/>
      <c r="S369" s="156"/>
      <c r="T369" s="157"/>
      <c r="U369" s="173"/>
      <c r="V369" s="157"/>
      <c r="W369" s="157"/>
      <c r="X369" s="87"/>
      <c r="Y369" s="87"/>
      <c r="Z369" s="87"/>
      <c r="AA369" s="87"/>
    </row>
    <row r="370" ht="12" customHeight="1" spans="1:27">
      <c r="A370" s="87"/>
      <c r="B370" s="87"/>
      <c r="C370" s="87"/>
      <c r="D370" s="87"/>
      <c r="E370" s="203"/>
      <c r="F370" s="87"/>
      <c r="G370" s="204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155"/>
      <c r="S370" s="156"/>
      <c r="T370" s="157"/>
      <c r="U370" s="173"/>
      <c r="V370" s="157"/>
      <c r="W370" s="157"/>
      <c r="X370" s="87"/>
      <c r="Y370" s="87"/>
      <c r="Z370" s="87"/>
      <c r="AA370" s="87"/>
    </row>
    <row r="371" ht="12" customHeight="1" spans="1:27">
      <c r="A371" s="87"/>
      <c r="B371" s="87"/>
      <c r="C371" s="87"/>
      <c r="D371" s="87"/>
      <c r="E371" s="203"/>
      <c r="F371" s="87"/>
      <c r="G371" s="204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155"/>
      <c r="S371" s="156"/>
      <c r="T371" s="157"/>
      <c r="U371" s="173"/>
      <c r="V371" s="157"/>
      <c r="W371" s="157"/>
      <c r="X371" s="87"/>
      <c r="Y371" s="87"/>
      <c r="Z371" s="87"/>
      <c r="AA371" s="87"/>
    </row>
    <row r="372" ht="12" customHeight="1" spans="1:27">
      <c r="A372" s="87"/>
      <c r="B372" s="87"/>
      <c r="C372" s="87"/>
      <c r="D372" s="87"/>
      <c r="E372" s="203"/>
      <c r="F372" s="87"/>
      <c r="G372" s="204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155"/>
      <c r="S372" s="156"/>
      <c r="T372" s="157"/>
      <c r="U372" s="173"/>
      <c r="V372" s="157"/>
      <c r="W372" s="157"/>
      <c r="X372" s="87"/>
      <c r="Y372" s="87"/>
      <c r="Z372" s="87"/>
      <c r="AA372" s="87"/>
    </row>
    <row r="373" ht="12" customHeight="1" spans="1:27">
      <c r="A373" s="87"/>
      <c r="B373" s="87"/>
      <c r="C373" s="87"/>
      <c r="D373" s="87"/>
      <c r="E373" s="203"/>
      <c r="F373" s="87"/>
      <c r="G373" s="204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155"/>
      <c r="S373" s="156"/>
      <c r="T373" s="157"/>
      <c r="U373" s="173"/>
      <c r="V373" s="157"/>
      <c r="W373" s="157"/>
      <c r="X373" s="87"/>
      <c r="Y373" s="87"/>
      <c r="Z373" s="87"/>
      <c r="AA373" s="87"/>
    </row>
    <row r="374" ht="12" customHeight="1" spans="1:27">
      <c r="A374" s="87"/>
      <c r="B374" s="87"/>
      <c r="C374" s="87"/>
      <c r="D374" s="87"/>
      <c r="E374" s="203"/>
      <c r="F374" s="87"/>
      <c r="G374" s="204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155"/>
      <c r="S374" s="156"/>
      <c r="T374" s="157"/>
      <c r="U374" s="173"/>
      <c r="V374" s="157"/>
      <c r="W374" s="157"/>
      <c r="X374" s="87"/>
      <c r="Y374" s="87"/>
      <c r="Z374" s="87"/>
      <c r="AA374" s="87"/>
    </row>
    <row r="375" ht="12" customHeight="1" spans="1:27">
      <c r="A375" s="87"/>
      <c r="B375" s="87"/>
      <c r="C375" s="87"/>
      <c r="D375" s="87"/>
      <c r="E375" s="203"/>
      <c r="F375" s="87"/>
      <c r="G375" s="204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155"/>
      <c r="S375" s="156"/>
      <c r="T375" s="157"/>
      <c r="U375" s="173"/>
      <c r="V375" s="157"/>
      <c r="W375" s="157"/>
      <c r="X375" s="87"/>
      <c r="Y375" s="87"/>
      <c r="Z375" s="87"/>
      <c r="AA375" s="87"/>
    </row>
    <row r="376" ht="12" customHeight="1" spans="1:27">
      <c r="A376" s="87"/>
      <c r="B376" s="87"/>
      <c r="C376" s="87"/>
      <c r="D376" s="87"/>
      <c r="E376" s="203"/>
      <c r="F376" s="87"/>
      <c r="G376" s="204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155"/>
      <c r="S376" s="156"/>
      <c r="T376" s="157"/>
      <c r="U376" s="173"/>
      <c r="V376" s="157"/>
      <c r="W376" s="157"/>
      <c r="X376" s="87"/>
      <c r="Y376" s="87"/>
      <c r="Z376" s="87"/>
      <c r="AA376" s="87"/>
    </row>
    <row r="377" ht="12" customHeight="1" spans="1:27">
      <c r="A377" s="87"/>
      <c r="B377" s="87"/>
      <c r="C377" s="87"/>
      <c r="D377" s="87"/>
      <c r="E377" s="203"/>
      <c r="F377" s="87"/>
      <c r="G377" s="204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155"/>
      <c r="S377" s="156"/>
      <c r="T377" s="157"/>
      <c r="U377" s="173"/>
      <c r="V377" s="157"/>
      <c r="W377" s="157"/>
      <c r="X377" s="87"/>
      <c r="Y377" s="87"/>
      <c r="Z377" s="87"/>
      <c r="AA377" s="87"/>
    </row>
    <row r="378" ht="12" customHeight="1" spans="1:27">
      <c r="A378" s="87"/>
      <c r="B378" s="87"/>
      <c r="C378" s="87"/>
      <c r="D378" s="87"/>
      <c r="E378" s="203"/>
      <c r="F378" s="87"/>
      <c r="G378" s="204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155"/>
      <c r="S378" s="156"/>
      <c r="T378" s="157"/>
      <c r="U378" s="173"/>
      <c r="V378" s="157"/>
      <c r="W378" s="157"/>
      <c r="X378" s="87"/>
      <c r="Y378" s="87"/>
      <c r="Z378" s="87"/>
      <c r="AA378" s="87"/>
    </row>
    <row r="379" ht="12" customHeight="1" spans="1:27">
      <c r="A379" s="87"/>
      <c r="B379" s="87"/>
      <c r="C379" s="87"/>
      <c r="D379" s="87"/>
      <c r="E379" s="203"/>
      <c r="F379" s="87"/>
      <c r="G379" s="204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155"/>
      <c r="S379" s="156"/>
      <c r="T379" s="157"/>
      <c r="U379" s="173"/>
      <c r="V379" s="157"/>
      <c r="W379" s="157"/>
      <c r="X379" s="87"/>
      <c r="Y379" s="87"/>
      <c r="Z379" s="87"/>
      <c r="AA379" s="87"/>
    </row>
    <row r="380" ht="12" customHeight="1" spans="1:27">
      <c r="A380" s="87"/>
      <c r="B380" s="87"/>
      <c r="C380" s="87"/>
      <c r="D380" s="87"/>
      <c r="E380" s="203"/>
      <c r="F380" s="87"/>
      <c r="G380" s="204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155"/>
      <c r="S380" s="156"/>
      <c r="T380" s="157"/>
      <c r="U380" s="173"/>
      <c r="V380" s="157"/>
      <c r="W380" s="157"/>
      <c r="X380" s="87"/>
      <c r="Y380" s="87"/>
      <c r="Z380" s="87"/>
      <c r="AA380" s="87"/>
    </row>
    <row r="381" ht="12" customHeight="1" spans="1:27">
      <c r="A381" s="87"/>
      <c r="B381" s="87"/>
      <c r="C381" s="87"/>
      <c r="D381" s="87"/>
      <c r="E381" s="203"/>
      <c r="F381" s="87"/>
      <c r="G381" s="204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155"/>
      <c r="S381" s="156"/>
      <c r="T381" s="157"/>
      <c r="U381" s="173"/>
      <c r="V381" s="157"/>
      <c r="W381" s="157"/>
      <c r="X381" s="87"/>
      <c r="Y381" s="87"/>
      <c r="Z381" s="87"/>
      <c r="AA381" s="87"/>
    </row>
    <row r="382" ht="12" customHeight="1" spans="1:27">
      <c r="A382" s="87"/>
      <c r="B382" s="87"/>
      <c r="C382" s="87"/>
      <c r="D382" s="87"/>
      <c r="E382" s="203"/>
      <c r="F382" s="87"/>
      <c r="G382" s="204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155"/>
      <c r="S382" s="156"/>
      <c r="T382" s="157"/>
      <c r="U382" s="173"/>
      <c r="V382" s="157"/>
      <c r="W382" s="157"/>
      <c r="X382" s="87"/>
      <c r="Y382" s="87"/>
      <c r="Z382" s="87"/>
      <c r="AA382" s="87"/>
    </row>
    <row r="383" ht="12" customHeight="1" spans="1:27">
      <c r="A383" s="87"/>
      <c r="B383" s="87"/>
      <c r="C383" s="87"/>
      <c r="D383" s="87"/>
      <c r="E383" s="203"/>
      <c r="F383" s="87"/>
      <c r="G383" s="204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155"/>
      <c r="S383" s="156"/>
      <c r="T383" s="157"/>
      <c r="U383" s="173"/>
      <c r="V383" s="157"/>
      <c r="W383" s="157"/>
      <c r="X383" s="87"/>
      <c r="Y383" s="87"/>
      <c r="Z383" s="87"/>
      <c r="AA383" s="87"/>
    </row>
    <row r="384" ht="12" customHeight="1" spans="1:27">
      <c r="A384" s="87"/>
      <c r="B384" s="87"/>
      <c r="C384" s="87"/>
      <c r="D384" s="87"/>
      <c r="E384" s="203"/>
      <c r="F384" s="87"/>
      <c r="G384" s="204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155"/>
      <c r="S384" s="156"/>
      <c r="T384" s="157"/>
      <c r="U384" s="173"/>
      <c r="V384" s="157"/>
      <c r="W384" s="157"/>
      <c r="X384" s="87"/>
      <c r="Y384" s="87"/>
      <c r="Z384" s="87"/>
      <c r="AA384" s="87"/>
    </row>
    <row r="385" ht="12" customHeight="1" spans="1:27">
      <c r="A385" s="87"/>
      <c r="B385" s="87"/>
      <c r="C385" s="87"/>
      <c r="D385" s="87"/>
      <c r="E385" s="203"/>
      <c r="F385" s="87"/>
      <c r="G385" s="204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155"/>
      <c r="S385" s="156"/>
      <c r="T385" s="157"/>
      <c r="U385" s="173"/>
      <c r="V385" s="157"/>
      <c r="W385" s="157"/>
      <c r="X385" s="87"/>
      <c r="Y385" s="87"/>
      <c r="Z385" s="87"/>
      <c r="AA385" s="87"/>
    </row>
    <row r="386" ht="12" customHeight="1" spans="1:27">
      <c r="A386" s="87"/>
      <c r="B386" s="87"/>
      <c r="C386" s="87"/>
      <c r="D386" s="87"/>
      <c r="E386" s="203"/>
      <c r="F386" s="87"/>
      <c r="G386" s="204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155"/>
      <c r="S386" s="156"/>
      <c r="T386" s="157"/>
      <c r="U386" s="173"/>
      <c r="V386" s="157"/>
      <c r="W386" s="157"/>
      <c r="X386" s="87"/>
      <c r="Y386" s="87"/>
      <c r="Z386" s="87"/>
      <c r="AA386" s="87"/>
    </row>
    <row r="387" ht="12" customHeight="1" spans="1:27">
      <c r="A387" s="87"/>
      <c r="B387" s="87"/>
      <c r="C387" s="87"/>
      <c r="D387" s="87"/>
      <c r="E387" s="203"/>
      <c r="F387" s="87"/>
      <c r="G387" s="204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155"/>
      <c r="S387" s="156"/>
      <c r="T387" s="157"/>
      <c r="U387" s="173"/>
      <c r="V387" s="157"/>
      <c r="W387" s="157"/>
      <c r="X387" s="87"/>
      <c r="Y387" s="87"/>
      <c r="Z387" s="87"/>
      <c r="AA387" s="87"/>
    </row>
    <row r="388" ht="12" customHeight="1" spans="1:27">
      <c r="A388" s="87"/>
      <c r="B388" s="87"/>
      <c r="C388" s="87"/>
      <c r="D388" s="87"/>
      <c r="E388" s="203"/>
      <c r="F388" s="87"/>
      <c r="G388" s="204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155"/>
      <c r="S388" s="156"/>
      <c r="T388" s="157"/>
      <c r="U388" s="173"/>
      <c r="V388" s="157"/>
      <c r="W388" s="157"/>
      <c r="X388" s="87"/>
      <c r="Y388" s="87"/>
      <c r="Z388" s="87"/>
      <c r="AA388" s="87"/>
    </row>
    <row r="389" ht="12" customHeight="1" spans="1:27">
      <c r="A389" s="87"/>
      <c r="B389" s="87"/>
      <c r="C389" s="87"/>
      <c r="D389" s="87"/>
      <c r="E389" s="203"/>
      <c r="F389" s="87"/>
      <c r="G389" s="204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155"/>
      <c r="S389" s="156"/>
      <c r="T389" s="157"/>
      <c r="U389" s="173"/>
      <c r="V389" s="157"/>
      <c r="W389" s="157"/>
      <c r="X389" s="87"/>
      <c r="Y389" s="87"/>
      <c r="Z389" s="87"/>
      <c r="AA389" s="87"/>
    </row>
    <row r="390" ht="12" customHeight="1" spans="1:27">
      <c r="A390" s="87"/>
      <c r="B390" s="87"/>
      <c r="C390" s="87"/>
      <c r="D390" s="87"/>
      <c r="E390" s="203"/>
      <c r="F390" s="87"/>
      <c r="G390" s="204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155"/>
      <c r="S390" s="156"/>
      <c r="T390" s="157"/>
      <c r="U390" s="173"/>
      <c r="V390" s="157"/>
      <c r="W390" s="157"/>
      <c r="X390" s="87"/>
      <c r="Y390" s="87"/>
      <c r="Z390" s="87"/>
      <c r="AA390" s="87"/>
    </row>
    <row r="391" ht="12" customHeight="1" spans="1:27">
      <c r="A391" s="87"/>
      <c r="B391" s="87"/>
      <c r="C391" s="87"/>
      <c r="D391" s="87"/>
      <c r="E391" s="203"/>
      <c r="F391" s="87"/>
      <c r="G391" s="204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155"/>
      <c r="S391" s="156"/>
      <c r="T391" s="157"/>
      <c r="U391" s="173"/>
      <c r="V391" s="157"/>
      <c r="W391" s="157"/>
      <c r="X391" s="87"/>
      <c r="Y391" s="87"/>
      <c r="Z391" s="87"/>
      <c r="AA391" s="87"/>
    </row>
    <row r="392" ht="12" customHeight="1" spans="1:27">
      <c r="A392" s="87"/>
      <c r="B392" s="87"/>
      <c r="C392" s="87"/>
      <c r="D392" s="87"/>
      <c r="E392" s="203"/>
      <c r="F392" s="87"/>
      <c r="G392" s="204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155"/>
      <c r="S392" s="156"/>
      <c r="T392" s="157"/>
      <c r="U392" s="173"/>
      <c r="V392" s="157"/>
      <c r="W392" s="157"/>
      <c r="X392" s="87"/>
      <c r="Y392" s="87"/>
      <c r="Z392" s="87"/>
      <c r="AA392" s="87"/>
    </row>
    <row r="393" ht="12" customHeight="1" spans="1:27">
      <c r="A393" s="87"/>
      <c r="B393" s="87"/>
      <c r="C393" s="87"/>
      <c r="D393" s="87"/>
      <c r="E393" s="203"/>
      <c r="F393" s="87"/>
      <c r="G393" s="204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155"/>
      <c r="S393" s="156"/>
      <c r="T393" s="157"/>
      <c r="U393" s="173"/>
      <c r="V393" s="157"/>
      <c r="W393" s="157"/>
      <c r="X393" s="87"/>
      <c r="Y393" s="87"/>
      <c r="Z393" s="87"/>
      <c r="AA393" s="87"/>
    </row>
    <row r="394" ht="12" customHeight="1" spans="1:27">
      <c r="A394" s="87"/>
      <c r="B394" s="87"/>
      <c r="C394" s="87"/>
      <c r="D394" s="87"/>
      <c r="E394" s="203"/>
      <c r="F394" s="87"/>
      <c r="G394" s="204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155"/>
      <c r="S394" s="156"/>
      <c r="T394" s="157"/>
      <c r="U394" s="173"/>
      <c r="V394" s="157"/>
      <c r="W394" s="157"/>
      <c r="X394" s="87"/>
      <c r="Y394" s="87"/>
      <c r="Z394" s="87"/>
      <c r="AA394" s="87"/>
    </row>
    <row r="395" ht="12" customHeight="1" spans="1:27">
      <c r="A395" s="87"/>
      <c r="B395" s="87"/>
      <c r="C395" s="87"/>
      <c r="D395" s="87"/>
      <c r="E395" s="203"/>
      <c r="F395" s="87"/>
      <c r="G395" s="204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155"/>
      <c r="S395" s="156"/>
      <c r="T395" s="157"/>
      <c r="U395" s="173"/>
      <c r="V395" s="157"/>
      <c r="W395" s="157"/>
      <c r="X395" s="87"/>
      <c r="Y395" s="87"/>
      <c r="Z395" s="87"/>
      <c r="AA395" s="87"/>
    </row>
    <row r="396" ht="12" customHeight="1" spans="1:27">
      <c r="A396" s="87"/>
      <c r="B396" s="87"/>
      <c r="C396" s="87"/>
      <c r="D396" s="87"/>
      <c r="E396" s="203"/>
      <c r="F396" s="87"/>
      <c r="G396" s="204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155"/>
      <c r="S396" s="156"/>
      <c r="T396" s="157"/>
      <c r="U396" s="173"/>
      <c r="V396" s="157"/>
      <c r="W396" s="157"/>
      <c r="X396" s="87"/>
      <c r="Y396" s="87"/>
      <c r="Z396" s="87"/>
      <c r="AA396" s="87"/>
    </row>
    <row r="397" ht="12" customHeight="1" spans="1:27">
      <c r="A397" s="87"/>
      <c r="B397" s="87"/>
      <c r="C397" s="87"/>
      <c r="D397" s="87"/>
      <c r="E397" s="203"/>
      <c r="F397" s="87"/>
      <c r="G397" s="204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155"/>
      <c r="S397" s="156"/>
      <c r="T397" s="157"/>
      <c r="U397" s="173"/>
      <c r="V397" s="157"/>
      <c r="W397" s="157"/>
      <c r="X397" s="87"/>
      <c r="Y397" s="87"/>
      <c r="Z397" s="87"/>
      <c r="AA397" s="87"/>
    </row>
    <row r="398" ht="12" customHeight="1" spans="1:27">
      <c r="A398" s="87"/>
      <c r="B398" s="87"/>
      <c r="C398" s="87"/>
      <c r="D398" s="87"/>
      <c r="E398" s="203"/>
      <c r="F398" s="87"/>
      <c r="G398" s="204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155"/>
      <c r="S398" s="156"/>
      <c r="T398" s="157"/>
      <c r="U398" s="173"/>
      <c r="V398" s="157"/>
      <c r="W398" s="157"/>
      <c r="X398" s="87"/>
      <c r="Y398" s="87"/>
      <c r="Z398" s="87"/>
      <c r="AA398" s="87"/>
    </row>
    <row r="399" ht="12" customHeight="1" spans="1:27">
      <c r="A399" s="87"/>
      <c r="B399" s="87"/>
      <c r="C399" s="87"/>
      <c r="D399" s="87"/>
      <c r="E399" s="203"/>
      <c r="F399" s="87"/>
      <c r="G399" s="204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155"/>
      <c r="S399" s="156"/>
      <c r="T399" s="157"/>
      <c r="U399" s="173"/>
      <c r="V399" s="157"/>
      <c r="W399" s="157"/>
      <c r="X399" s="87"/>
      <c r="Y399" s="87"/>
      <c r="Z399" s="87"/>
      <c r="AA399" s="87"/>
    </row>
    <row r="400" ht="12" customHeight="1" spans="1:27">
      <c r="A400" s="87"/>
      <c r="B400" s="87"/>
      <c r="C400" s="87"/>
      <c r="D400" s="87"/>
      <c r="E400" s="203"/>
      <c r="F400" s="87"/>
      <c r="G400" s="204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155"/>
      <c r="S400" s="156"/>
      <c r="T400" s="157"/>
      <c r="U400" s="173"/>
      <c r="V400" s="157"/>
      <c r="W400" s="157"/>
      <c r="X400" s="87"/>
      <c r="Y400" s="87"/>
      <c r="Z400" s="87"/>
      <c r="AA400" s="87"/>
    </row>
    <row r="401" ht="12" customHeight="1" spans="1:27">
      <c r="A401" s="87"/>
      <c r="B401" s="87"/>
      <c r="C401" s="87"/>
      <c r="D401" s="87"/>
      <c r="E401" s="203"/>
      <c r="F401" s="87"/>
      <c r="G401" s="204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155"/>
      <c r="S401" s="156"/>
      <c r="T401" s="157"/>
      <c r="U401" s="173"/>
      <c r="V401" s="157"/>
      <c r="W401" s="157"/>
      <c r="X401" s="87"/>
      <c r="Y401" s="87"/>
      <c r="Z401" s="87"/>
      <c r="AA401" s="87"/>
    </row>
    <row r="402" ht="12" customHeight="1" spans="1:27">
      <c r="A402" s="87"/>
      <c r="B402" s="87"/>
      <c r="C402" s="87"/>
      <c r="D402" s="87"/>
      <c r="E402" s="203"/>
      <c r="F402" s="87"/>
      <c r="G402" s="204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155"/>
      <c r="S402" s="156"/>
      <c r="T402" s="157"/>
      <c r="U402" s="173"/>
      <c r="V402" s="157"/>
      <c r="W402" s="157"/>
      <c r="X402" s="87"/>
      <c r="Y402" s="87"/>
      <c r="Z402" s="87"/>
      <c r="AA402" s="87"/>
    </row>
    <row r="403" ht="12" customHeight="1" spans="1:27">
      <c r="A403" s="87"/>
      <c r="B403" s="87"/>
      <c r="C403" s="87"/>
      <c r="D403" s="87"/>
      <c r="E403" s="203"/>
      <c r="F403" s="87"/>
      <c r="G403" s="204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155"/>
      <c r="S403" s="156"/>
      <c r="T403" s="157"/>
      <c r="U403" s="173"/>
      <c r="V403" s="157"/>
      <c r="W403" s="157"/>
      <c r="X403" s="87"/>
      <c r="Y403" s="87"/>
      <c r="Z403" s="87"/>
      <c r="AA403" s="87"/>
    </row>
    <row r="404" ht="12" customHeight="1" spans="1:27">
      <c r="A404" s="87"/>
      <c r="B404" s="87"/>
      <c r="C404" s="87"/>
      <c r="D404" s="87"/>
      <c r="E404" s="203"/>
      <c r="F404" s="87"/>
      <c r="G404" s="204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155"/>
      <c r="S404" s="156"/>
      <c r="T404" s="157"/>
      <c r="U404" s="173"/>
      <c r="V404" s="157"/>
      <c r="W404" s="157"/>
      <c r="X404" s="87"/>
      <c r="Y404" s="87"/>
      <c r="Z404" s="87"/>
      <c r="AA404" s="87"/>
    </row>
    <row r="405" ht="12" customHeight="1" spans="1:27">
      <c r="A405" s="87"/>
      <c r="B405" s="87"/>
      <c r="C405" s="87"/>
      <c r="D405" s="87"/>
      <c r="E405" s="203"/>
      <c r="F405" s="87"/>
      <c r="G405" s="204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155"/>
      <c r="S405" s="156"/>
      <c r="T405" s="157"/>
      <c r="U405" s="173"/>
      <c r="V405" s="157"/>
      <c r="W405" s="157"/>
      <c r="X405" s="87"/>
      <c r="Y405" s="87"/>
      <c r="Z405" s="87"/>
      <c r="AA405" s="87"/>
    </row>
    <row r="406" ht="12" customHeight="1" spans="1:27">
      <c r="A406" s="87"/>
      <c r="B406" s="87"/>
      <c r="C406" s="87"/>
      <c r="D406" s="87"/>
      <c r="E406" s="203"/>
      <c r="F406" s="87"/>
      <c r="G406" s="204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155"/>
      <c r="S406" s="156"/>
      <c r="T406" s="157"/>
      <c r="U406" s="173"/>
      <c r="V406" s="157"/>
      <c r="W406" s="157"/>
      <c r="X406" s="87"/>
      <c r="Y406" s="87"/>
      <c r="Z406" s="87"/>
      <c r="AA406" s="87"/>
    </row>
    <row r="407" ht="12" customHeight="1" spans="1:27">
      <c r="A407" s="87"/>
      <c r="B407" s="87"/>
      <c r="C407" s="87"/>
      <c r="D407" s="87"/>
      <c r="E407" s="203"/>
      <c r="F407" s="87"/>
      <c r="G407" s="204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155"/>
      <c r="S407" s="156"/>
      <c r="T407" s="157"/>
      <c r="U407" s="173"/>
      <c r="V407" s="157"/>
      <c r="W407" s="157"/>
      <c r="X407" s="87"/>
      <c r="Y407" s="87"/>
      <c r="Z407" s="87"/>
      <c r="AA407" s="87"/>
    </row>
    <row r="408" ht="12" customHeight="1" spans="1:27">
      <c r="A408" s="87"/>
      <c r="B408" s="87"/>
      <c r="C408" s="87"/>
      <c r="D408" s="87"/>
      <c r="E408" s="203"/>
      <c r="F408" s="87"/>
      <c r="G408" s="204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155"/>
      <c r="S408" s="156"/>
      <c r="T408" s="157"/>
      <c r="U408" s="173"/>
      <c r="V408" s="157"/>
      <c r="W408" s="157"/>
      <c r="X408" s="87"/>
      <c r="Y408" s="87"/>
      <c r="Z408" s="87"/>
      <c r="AA408" s="87"/>
    </row>
    <row r="409" ht="12" customHeight="1" spans="1:27">
      <c r="A409" s="87"/>
      <c r="B409" s="87"/>
      <c r="C409" s="87"/>
      <c r="D409" s="87"/>
      <c r="E409" s="203"/>
      <c r="F409" s="87"/>
      <c r="G409" s="204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155"/>
      <c r="S409" s="156"/>
      <c r="T409" s="157"/>
      <c r="U409" s="173"/>
      <c r="V409" s="157"/>
      <c r="W409" s="157"/>
      <c r="X409" s="87"/>
      <c r="Y409" s="87"/>
      <c r="Z409" s="87"/>
      <c r="AA409" s="87"/>
    </row>
    <row r="410" ht="12" customHeight="1" spans="1:27">
      <c r="A410" s="87"/>
      <c r="B410" s="87"/>
      <c r="C410" s="87"/>
      <c r="D410" s="87"/>
      <c r="E410" s="203"/>
      <c r="F410" s="87"/>
      <c r="G410" s="204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155"/>
      <c r="S410" s="156"/>
      <c r="T410" s="157"/>
      <c r="U410" s="173"/>
      <c r="V410" s="157"/>
      <c r="W410" s="157"/>
      <c r="X410" s="87"/>
      <c r="Y410" s="87"/>
      <c r="Z410" s="87"/>
      <c r="AA410" s="87"/>
    </row>
    <row r="411" ht="12" customHeight="1" spans="1:27">
      <c r="A411" s="87"/>
      <c r="B411" s="87"/>
      <c r="C411" s="87"/>
      <c r="D411" s="87"/>
      <c r="E411" s="203"/>
      <c r="F411" s="87"/>
      <c r="G411" s="204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155"/>
      <c r="S411" s="156"/>
      <c r="T411" s="157"/>
      <c r="U411" s="173"/>
      <c r="V411" s="157"/>
      <c r="W411" s="157"/>
      <c r="X411" s="87"/>
      <c r="Y411" s="87"/>
      <c r="Z411" s="87"/>
      <c r="AA411" s="87"/>
    </row>
    <row r="412" ht="12" customHeight="1" spans="1:27">
      <c r="A412" s="87"/>
      <c r="B412" s="87"/>
      <c r="C412" s="87"/>
      <c r="D412" s="87"/>
      <c r="E412" s="203"/>
      <c r="F412" s="87"/>
      <c r="G412" s="204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155"/>
      <c r="S412" s="156"/>
      <c r="T412" s="157"/>
      <c r="U412" s="173"/>
      <c r="V412" s="157"/>
      <c r="W412" s="157"/>
      <c r="X412" s="87"/>
      <c r="Y412" s="87"/>
      <c r="Z412" s="87"/>
      <c r="AA412" s="87"/>
    </row>
    <row r="413" ht="12" customHeight="1" spans="1:27">
      <c r="A413" s="87"/>
      <c r="B413" s="87"/>
      <c r="C413" s="87"/>
      <c r="D413" s="87"/>
      <c r="E413" s="203"/>
      <c r="F413" s="87"/>
      <c r="G413" s="204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155"/>
      <c r="S413" s="156"/>
      <c r="T413" s="157"/>
      <c r="U413" s="173"/>
      <c r="V413" s="157"/>
      <c r="W413" s="157"/>
      <c r="X413" s="87"/>
      <c r="Y413" s="87"/>
      <c r="Z413" s="87"/>
      <c r="AA413" s="87"/>
    </row>
    <row r="414" ht="12" customHeight="1" spans="1:27">
      <c r="A414" s="87"/>
      <c r="B414" s="87"/>
      <c r="C414" s="87"/>
      <c r="D414" s="87"/>
      <c r="E414" s="203"/>
      <c r="F414" s="87"/>
      <c r="G414" s="204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155"/>
      <c r="S414" s="156"/>
      <c r="T414" s="157"/>
      <c r="U414" s="173"/>
      <c r="V414" s="157"/>
      <c r="W414" s="157"/>
      <c r="X414" s="87"/>
      <c r="Y414" s="87"/>
      <c r="Z414" s="87"/>
      <c r="AA414" s="87"/>
    </row>
    <row r="415" ht="12" customHeight="1" spans="1:27">
      <c r="A415" s="87"/>
      <c r="B415" s="87"/>
      <c r="C415" s="87"/>
      <c r="D415" s="87"/>
      <c r="E415" s="203"/>
      <c r="F415" s="87"/>
      <c r="G415" s="204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155"/>
      <c r="S415" s="156"/>
      <c r="T415" s="157"/>
      <c r="U415" s="173"/>
      <c r="V415" s="157"/>
      <c r="W415" s="157"/>
      <c r="X415" s="87"/>
      <c r="Y415" s="87"/>
      <c r="Z415" s="87"/>
      <c r="AA415" s="87"/>
    </row>
    <row r="416" ht="12" customHeight="1" spans="1:27">
      <c r="A416" s="87"/>
      <c r="B416" s="87"/>
      <c r="C416" s="87"/>
      <c r="D416" s="87"/>
      <c r="E416" s="203"/>
      <c r="F416" s="87"/>
      <c r="G416" s="204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155"/>
      <c r="S416" s="156"/>
      <c r="T416" s="157"/>
      <c r="U416" s="173"/>
      <c r="V416" s="157"/>
      <c r="W416" s="157"/>
      <c r="X416" s="87"/>
      <c r="Y416" s="87"/>
      <c r="Z416" s="87"/>
      <c r="AA416" s="87"/>
    </row>
    <row r="417" ht="12" customHeight="1" spans="1:27">
      <c r="A417" s="87"/>
      <c r="B417" s="87"/>
      <c r="C417" s="87"/>
      <c r="D417" s="87"/>
      <c r="E417" s="203"/>
      <c r="F417" s="87"/>
      <c r="G417" s="204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155"/>
      <c r="S417" s="156"/>
      <c r="T417" s="157"/>
      <c r="U417" s="173"/>
      <c r="V417" s="157"/>
      <c r="W417" s="157"/>
      <c r="X417" s="87"/>
      <c r="Y417" s="87"/>
      <c r="Z417" s="87"/>
      <c r="AA417" s="87"/>
    </row>
    <row r="418" ht="12" customHeight="1" spans="1:27">
      <c r="A418" s="87"/>
      <c r="B418" s="87"/>
      <c r="C418" s="87"/>
      <c r="D418" s="87"/>
      <c r="E418" s="203"/>
      <c r="F418" s="87"/>
      <c r="G418" s="204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155"/>
      <c r="S418" s="156"/>
      <c r="T418" s="157"/>
      <c r="U418" s="173"/>
      <c r="V418" s="157"/>
      <c r="W418" s="157"/>
      <c r="X418" s="87"/>
      <c r="Y418" s="87"/>
      <c r="Z418" s="87"/>
      <c r="AA418" s="87"/>
    </row>
    <row r="419" ht="12" customHeight="1" spans="1:27">
      <c r="A419" s="87"/>
      <c r="B419" s="87"/>
      <c r="C419" s="87"/>
      <c r="D419" s="87"/>
      <c r="E419" s="203"/>
      <c r="F419" s="87"/>
      <c r="G419" s="204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155"/>
      <c r="S419" s="156"/>
      <c r="T419" s="157"/>
      <c r="U419" s="173"/>
      <c r="V419" s="157"/>
      <c r="W419" s="157"/>
      <c r="X419" s="87"/>
      <c r="Y419" s="87"/>
      <c r="Z419" s="87"/>
      <c r="AA419" s="87"/>
    </row>
    <row r="420" ht="12" customHeight="1" spans="1:27">
      <c r="A420" s="87"/>
      <c r="B420" s="87"/>
      <c r="C420" s="87"/>
      <c r="D420" s="87"/>
      <c r="E420" s="203"/>
      <c r="F420" s="87"/>
      <c r="G420" s="204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155"/>
      <c r="S420" s="156"/>
      <c r="T420" s="157"/>
      <c r="U420" s="173"/>
      <c r="V420" s="157"/>
      <c r="W420" s="157"/>
      <c r="X420" s="87"/>
      <c r="Y420" s="87"/>
      <c r="Z420" s="87"/>
      <c r="AA420" s="87"/>
    </row>
    <row r="421" ht="12" customHeight="1" spans="1:27">
      <c r="A421" s="87"/>
      <c r="B421" s="87"/>
      <c r="C421" s="87"/>
      <c r="D421" s="87"/>
      <c r="E421" s="203"/>
      <c r="F421" s="87"/>
      <c r="G421" s="204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155"/>
      <c r="S421" s="156"/>
      <c r="T421" s="157"/>
      <c r="U421" s="173"/>
      <c r="V421" s="157"/>
      <c r="W421" s="157"/>
      <c r="X421" s="87"/>
      <c r="Y421" s="87"/>
      <c r="Z421" s="87"/>
      <c r="AA421" s="87"/>
    </row>
    <row r="422" ht="12" customHeight="1" spans="1:27">
      <c r="A422" s="87"/>
      <c r="B422" s="87"/>
      <c r="C422" s="87"/>
      <c r="D422" s="87"/>
      <c r="E422" s="203"/>
      <c r="F422" s="87"/>
      <c r="G422" s="204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155"/>
      <c r="S422" s="156"/>
      <c r="T422" s="157"/>
      <c r="U422" s="173"/>
      <c r="V422" s="157"/>
      <c r="W422" s="157"/>
      <c r="X422" s="87"/>
      <c r="Y422" s="87"/>
      <c r="Z422" s="87"/>
      <c r="AA422" s="87"/>
    </row>
    <row r="423" ht="12" customHeight="1" spans="1:27">
      <c r="A423" s="87"/>
      <c r="B423" s="87"/>
      <c r="C423" s="87"/>
      <c r="D423" s="87"/>
      <c r="E423" s="203"/>
      <c r="F423" s="87"/>
      <c r="G423" s="204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155"/>
      <c r="S423" s="156"/>
      <c r="T423" s="157"/>
      <c r="U423" s="173"/>
      <c r="V423" s="157"/>
      <c r="W423" s="157"/>
      <c r="X423" s="87"/>
      <c r="Y423" s="87"/>
      <c r="Z423" s="87"/>
      <c r="AA423" s="87"/>
    </row>
    <row r="424" ht="12" customHeight="1" spans="1:27">
      <c r="A424" s="87"/>
      <c r="B424" s="87"/>
      <c r="C424" s="87"/>
      <c r="D424" s="87"/>
      <c r="E424" s="203"/>
      <c r="F424" s="87"/>
      <c r="G424" s="204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155"/>
      <c r="S424" s="156"/>
      <c r="T424" s="157"/>
      <c r="U424" s="173"/>
      <c r="V424" s="157"/>
      <c r="W424" s="157"/>
      <c r="X424" s="87"/>
      <c r="Y424" s="87"/>
      <c r="Z424" s="87"/>
      <c r="AA424" s="87"/>
    </row>
    <row r="425" ht="12" customHeight="1" spans="1:27">
      <c r="A425" s="87"/>
      <c r="B425" s="87"/>
      <c r="C425" s="87"/>
      <c r="D425" s="87"/>
      <c r="E425" s="203"/>
      <c r="F425" s="87"/>
      <c r="G425" s="204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155"/>
      <c r="S425" s="156"/>
      <c r="T425" s="157"/>
      <c r="U425" s="173"/>
      <c r="V425" s="157"/>
      <c r="W425" s="157"/>
      <c r="X425" s="87"/>
      <c r="Y425" s="87"/>
      <c r="Z425" s="87"/>
      <c r="AA425" s="87"/>
    </row>
    <row r="426" ht="12" customHeight="1" spans="1:27">
      <c r="A426" s="87"/>
      <c r="B426" s="87"/>
      <c r="C426" s="87"/>
      <c r="D426" s="87"/>
      <c r="E426" s="203"/>
      <c r="F426" s="87"/>
      <c r="G426" s="204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155"/>
      <c r="S426" s="156"/>
      <c r="T426" s="157"/>
      <c r="U426" s="173"/>
      <c r="V426" s="157"/>
      <c r="W426" s="157"/>
      <c r="X426" s="87"/>
      <c r="Y426" s="87"/>
      <c r="Z426" s="87"/>
      <c r="AA426" s="87"/>
    </row>
    <row r="427" ht="12" customHeight="1" spans="1:27">
      <c r="A427" s="87"/>
      <c r="B427" s="87"/>
      <c r="C427" s="87"/>
      <c r="D427" s="87"/>
      <c r="E427" s="203"/>
      <c r="F427" s="87"/>
      <c r="G427" s="204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155"/>
      <c r="S427" s="156"/>
      <c r="T427" s="157"/>
      <c r="U427" s="173"/>
      <c r="V427" s="157"/>
      <c r="W427" s="157"/>
      <c r="X427" s="87"/>
      <c r="Y427" s="87"/>
      <c r="Z427" s="87"/>
      <c r="AA427" s="87"/>
    </row>
    <row r="428" ht="12" customHeight="1" spans="1:27">
      <c r="A428" s="87"/>
      <c r="B428" s="87"/>
      <c r="C428" s="87"/>
      <c r="D428" s="87"/>
      <c r="E428" s="203"/>
      <c r="F428" s="87"/>
      <c r="G428" s="204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155"/>
      <c r="S428" s="156"/>
      <c r="T428" s="157"/>
      <c r="U428" s="173"/>
      <c r="V428" s="157"/>
      <c r="W428" s="157"/>
      <c r="X428" s="87"/>
      <c r="Y428" s="87"/>
      <c r="Z428" s="87"/>
      <c r="AA428" s="87"/>
    </row>
    <row r="429" ht="12" customHeight="1" spans="1:27">
      <c r="A429" s="87"/>
      <c r="B429" s="87"/>
      <c r="C429" s="87"/>
      <c r="D429" s="87"/>
      <c r="E429" s="203"/>
      <c r="F429" s="87"/>
      <c r="G429" s="204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155"/>
      <c r="S429" s="156"/>
      <c r="T429" s="157"/>
      <c r="U429" s="173"/>
      <c r="V429" s="157"/>
      <c r="W429" s="157"/>
      <c r="X429" s="87"/>
      <c r="Y429" s="87"/>
      <c r="Z429" s="87"/>
      <c r="AA429" s="87"/>
    </row>
    <row r="430" ht="12" customHeight="1" spans="1:27">
      <c r="A430" s="87"/>
      <c r="B430" s="87"/>
      <c r="C430" s="87"/>
      <c r="D430" s="87"/>
      <c r="E430" s="203"/>
      <c r="F430" s="87"/>
      <c r="G430" s="204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155"/>
      <c r="S430" s="156"/>
      <c r="T430" s="157"/>
      <c r="U430" s="173"/>
      <c r="V430" s="157"/>
      <c r="W430" s="157"/>
      <c r="X430" s="87"/>
      <c r="Y430" s="87"/>
      <c r="Z430" s="87"/>
      <c r="AA430" s="87"/>
    </row>
    <row r="431" ht="12" customHeight="1" spans="1:27">
      <c r="A431" s="87"/>
      <c r="B431" s="87"/>
      <c r="C431" s="87"/>
      <c r="D431" s="87"/>
      <c r="E431" s="203"/>
      <c r="F431" s="87"/>
      <c r="G431" s="204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155"/>
      <c r="S431" s="156"/>
      <c r="T431" s="157"/>
      <c r="U431" s="173"/>
      <c r="V431" s="157"/>
      <c r="W431" s="157"/>
      <c r="X431" s="87"/>
      <c r="Y431" s="87"/>
      <c r="Z431" s="87"/>
      <c r="AA431" s="87"/>
    </row>
    <row r="432" ht="12" customHeight="1" spans="1:27">
      <c r="A432" s="87"/>
      <c r="B432" s="87"/>
      <c r="C432" s="87"/>
      <c r="D432" s="87"/>
      <c r="E432" s="203"/>
      <c r="F432" s="87"/>
      <c r="G432" s="204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155"/>
      <c r="S432" s="156"/>
      <c r="T432" s="157"/>
      <c r="U432" s="173"/>
      <c r="V432" s="157"/>
      <c r="W432" s="157"/>
      <c r="X432" s="87"/>
      <c r="Y432" s="87"/>
      <c r="Z432" s="87"/>
      <c r="AA432" s="87"/>
    </row>
    <row r="433" ht="12" customHeight="1" spans="1:27">
      <c r="A433" s="87"/>
      <c r="B433" s="87"/>
      <c r="C433" s="87"/>
      <c r="D433" s="87"/>
      <c r="E433" s="203"/>
      <c r="F433" s="87"/>
      <c r="G433" s="204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155"/>
      <c r="S433" s="156"/>
      <c r="T433" s="157"/>
      <c r="U433" s="173"/>
      <c r="V433" s="157"/>
      <c r="W433" s="157"/>
      <c r="X433" s="87"/>
      <c r="Y433" s="87"/>
      <c r="Z433" s="87"/>
      <c r="AA433" s="87"/>
    </row>
    <row r="434" ht="12" customHeight="1" spans="1:27">
      <c r="A434" s="87"/>
      <c r="B434" s="87"/>
      <c r="C434" s="87"/>
      <c r="D434" s="87"/>
      <c r="E434" s="203"/>
      <c r="F434" s="87"/>
      <c r="G434" s="204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155"/>
      <c r="S434" s="156"/>
      <c r="T434" s="157"/>
      <c r="U434" s="173"/>
      <c r="V434" s="157"/>
      <c r="W434" s="157"/>
      <c r="X434" s="87"/>
      <c r="Y434" s="87"/>
      <c r="Z434" s="87"/>
      <c r="AA434" s="87"/>
    </row>
    <row r="435" ht="12" customHeight="1" spans="1:27">
      <c r="A435" s="87"/>
      <c r="B435" s="87"/>
      <c r="C435" s="87"/>
      <c r="D435" s="87"/>
      <c r="E435" s="203"/>
      <c r="F435" s="87"/>
      <c r="G435" s="204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155"/>
      <c r="S435" s="156"/>
      <c r="T435" s="157"/>
      <c r="U435" s="173"/>
      <c r="V435" s="157"/>
      <c r="W435" s="157"/>
      <c r="X435" s="87"/>
      <c r="Y435" s="87"/>
      <c r="Z435" s="87"/>
      <c r="AA435" s="87"/>
    </row>
    <row r="436" ht="12" customHeight="1" spans="1:27">
      <c r="A436" s="87"/>
      <c r="B436" s="87"/>
      <c r="C436" s="87"/>
      <c r="D436" s="87"/>
      <c r="E436" s="203"/>
      <c r="F436" s="87"/>
      <c r="G436" s="204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155"/>
      <c r="S436" s="156"/>
      <c r="T436" s="157"/>
      <c r="U436" s="173"/>
      <c r="V436" s="157"/>
      <c r="W436" s="157"/>
      <c r="X436" s="87"/>
      <c r="Y436" s="87"/>
      <c r="Z436" s="87"/>
      <c r="AA436" s="87"/>
    </row>
    <row r="437" ht="12" customHeight="1" spans="1:27">
      <c r="A437" s="87"/>
      <c r="B437" s="87"/>
      <c r="C437" s="87"/>
      <c r="D437" s="87"/>
      <c r="E437" s="203"/>
      <c r="F437" s="87"/>
      <c r="G437" s="204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155"/>
      <c r="S437" s="156"/>
      <c r="T437" s="157"/>
      <c r="U437" s="173"/>
      <c r="V437" s="157"/>
      <c r="W437" s="157"/>
      <c r="X437" s="87"/>
      <c r="Y437" s="87"/>
      <c r="Z437" s="87"/>
      <c r="AA437" s="87"/>
    </row>
    <row r="438" ht="12" customHeight="1" spans="1:27">
      <c r="A438" s="87"/>
      <c r="B438" s="87"/>
      <c r="C438" s="87"/>
      <c r="D438" s="87"/>
      <c r="E438" s="203"/>
      <c r="F438" s="87"/>
      <c r="G438" s="204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155"/>
      <c r="S438" s="156"/>
      <c r="T438" s="157"/>
      <c r="U438" s="173"/>
      <c r="V438" s="157"/>
      <c r="W438" s="157"/>
      <c r="X438" s="87"/>
      <c r="Y438" s="87"/>
      <c r="Z438" s="87"/>
      <c r="AA438" s="87"/>
    </row>
    <row r="439" ht="12" customHeight="1" spans="1:27">
      <c r="A439" s="87"/>
      <c r="B439" s="87"/>
      <c r="C439" s="87"/>
      <c r="D439" s="87"/>
      <c r="E439" s="203"/>
      <c r="F439" s="87"/>
      <c r="G439" s="204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155"/>
      <c r="S439" s="156"/>
      <c r="T439" s="157"/>
      <c r="U439" s="173"/>
      <c r="V439" s="157"/>
      <c r="W439" s="157"/>
      <c r="X439" s="87"/>
      <c r="Y439" s="87"/>
      <c r="Z439" s="87"/>
      <c r="AA439" s="87"/>
    </row>
    <row r="440" ht="12" customHeight="1" spans="1:27">
      <c r="A440" s="87"/>
      <c r="B440" s="87"/>
      <c r="C440" s="87"/>
      <c r="D440" s="87"/>
      <c r="E440" s="203"/>
      <c r="F440" s="87"/>
      <c r="G440" s="204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155"/>
      <c r="S440" s="156"/>
      <c r="T440" s="157"/>
      <c r="U440" s="173"/>
      <c r="V440" s="157"/>
      <c r="W440" s="157"/>
      <c r="X440" s="87"/>
      <c r="Y440" s="87"/>
      <c r="Z440" s="87"/>
      <c r="AA440" s="87"/>
    </row>
    <row r="441" ht="12" customHeight="1" spans="1:27">
      <c r="A441" s="87"/>
      <c r="B441" s="87"/>
      <c r="C441" s="87"/>
      <c r="D441" s="87"/>
      <c r="E441" s="203"/>
      <c r="F441" s="87"/>
      <c r="G441" s="204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155"/>
      <c r="S441" s="156"/>
      <c r="T441" s="157"/>
      <c r="U441" s="173"/>
      <c r="V441" s="157"/>
      <c r="W441" s="157"/>
      <c r="X441" s="87"/>
      <c r="Y441" s="87"/>
      <c r="Z441" s="87"/>
      <c r="AA441" s="87"/>
    </row>
    <row r="442" ht="12" customHeight="1" spans="1:27">
      <c r="A442" s="87"/>
      <c r="B442" s="87"/>
      <c r="C442" s="87"/>
      <c r="D442" s="87"/>
      <c r="E442" s="203"/>
      <c r="F442" s="87"/>
      <c r="G442" s="204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155"/>
      <c r="S442" s="156"/>
      <c r="T442" s="157"/>
      <c r="U442" s="173"/>
      <c r="V442" s="157"/>
      <c r="W442" s="157"/>
      <c r="X442" s="87"/>
      <c r="Y442" s="87"/>
      <c r="Z442" s="87"/>
      <c r="AA442" s="87"/>
    </row>
    <row r="443" ht="12" customHeight="1" spans="1:27">
      <c r="A443" s="87"/>
      <c r="B443" s="87"/>
      <c r="C443" s="87"/>
      <c r="D443" s="87"/>
      <c r="E443" s="203"/>
      <c r="F443" s="87"/>
      <c r="G443" s="204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155"/>
      <c r="S443" s="156"/>
      <c r="T443" s="157"/>
      <c r="U443" s="173"/>
      <c r="V443" s="157"/>
      <c r="W443" s="157"/>
      <c r="X443" s="87"/>
      <c r="Y443" s="87"/>
      <c r="Z443" s="87"/>
      <c r="AA443" s="87"/>
    </row>
    <row r="444" ht="12" customHeight="1" spans="1:27">
      <c r="A444" s="87"/>
      <c r="B444" s="87"/>
      <c r="C444" s="87"/>
      <c r="D444" s="87"/>
      <c r="E444" s="203"/>
      <c r="F444" s="87"/>
      <c r="G444" s="204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155"/>
      <c r="S444" s="156"/>
      <c r="T444" s="157"/>
      <c r="U444" s="173"/>
      <c r="V444" s="157"/>
      <c r="W444" s="157"/>
      <c r="X444" s="87"/>
      <c r="Y444" s="87"/>
      <c r="Z444" s="87"/>
      <c r="AA444" s="87"/>
    </row>
    <row r="445" ht="12" customHeight="1" spans="1:27">
      <c r="A445" s="87"/>
      <c r="B445" s="87"/>
      <c r="C445" s="87"/>
      <c r="D445" s="87"/>
      <c r="E445" s="203"/>
      <c r="F445" s="87"/>
      <c r="G445" s="204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155"/>
      <c r="S445" s="156"/>
      <c r="T445" s="157"/>
      <c r="U445" s="173"/>
      <c r="V445" s="157"/>
      <c r="W445" s="157"/>
      <c r="X445" s="87"/>
      <c r="Y445" s="87"/>
      <c r="Z445" s="87"/>
      <c r="AA445" s="87"/>
    </row>
    <row r="446" ht="12" customHeight="1" spans="1:27">
      <c r="A446" s="87"/>
      <c r="B446" s="87"/>
      <c r="C446" s="87"/>
      <c r="D446" s="87"/>
      <c r="E446" s="203"/>
      <c r="F446" s="87"/>
      <c r="G446" s="204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155"/>
      <c r="S446" s="156"/>
      <c r="T446" s="157"/>
      <c r="U446" s="173"/>
      <c r="V446" s="157"/>
      <c r="W446" s="157"/>
      <c r="X446" s="87"/>
      <c r="Y446" s="87"/>
      <c r="Z446" s="87"/>
      <c r="AA446" s="87"/>
    </row>
    <row r="447" ht="12" customHeight="1" spans="1:27">
      <c r="A447" s="87"/>
      <c r="B447" s="87"/>
      <c r="C447" s="87"/>
      <c r="D447" s="87"/>
      <c r="E447" s="203"/>
      <c r="F447" s="87"/>
      <c r="G447" s="204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155"/>
      <c r="S447" s="156"/>
      <c r="T447" s="157"/>
      <c r="U447" s="173"/>
      <c r="V447" s="157"/>
      <c r="W447" s="157"/>
      <c r="X447" s="87"/>
      <c r="Y447" s="87"/>
      <c r="Z447" s="87"/>
      <c r="AA447" s="87"/>
    </row>
    <row r="448" ht="12" customHeight="1" spans="1:27">
      <c r="A448" s="87"/>
      <c r="B448" s="87"/>
      <c r="C448" s="87"/>
      <c r="D448" s="87"/>
      <c r="E448" s="203"/>
      <c r="F448" s="87"/>
      <c r="G448" s="204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155"/>
      <c r="S448" s="156"/>
      <c r="T448" s="157"/>
      <c r="U448" s="173"/>
      <c r="V448" s="157"/>
      <c r="W448" s="157"/>
      <c r="X448" s="87"/>
      <c r="Y448" s="87"/>
      <c r="Z448" s="87"/>
      <c r="AA448" s="87"/>
    </row>
    <row r="449" ht="12" customHeight="1" spans="1:27">
      <c r="A449" s="87"/>
      <c r="B449" s="87"/>
      <c r="C449" s="87"/>
      <c r="D449" s="87"/>
      <c r="E449" s="203"/>
      <c r="F449" s="87"/>
      <c r="G449" s="204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155"/>
      <c r="S449" s="156"/>
      <c r="T449" s="157"/>
      <c r="U449" s="173"/>
      <c r="V449" s="157"/>
      <c r="W449" s="157"/>
      <c r="X449" s="87"/>
      <c r="Y449" s="87"/>
      <c r="Z449" s="87"/>
      <c r="AA449" s="87"/>
    </row>
    <row r="450" ht="12" customHeight="1" spans="1:27">
      <c r="A450" s="87"/>
      <c r="B450" s="87"/>
      <c r="C450" s="87"/>
      <c r="D450" s="87"/>
      <c r="E450" s="203"/>
      <c r="F450" s="87"/>
      <c r="G450" s="204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155"/>
      <c r="S450" s="156"/>
      <c r="T450" s="157"/>
      <c r="U450" s="173"/>
      <c r="V450" s="157"/>
      <c r="W450" s="157"/>
      <c r="X450" s="87"/>
      <c r="Y450" s="87"/>
      <c r="Z450" s="87"/>
      <c r="AA450" s="87"/>
    </row>
    <row r="451" ht="12" customHeight="1" spans="1:27">
      <c r="A451" s="87"/>
      <c r="B451" s="87"/>
      <c r="C451" s="87"/>
      <c r="D451" s="87"/>
      <c r="E451" s="203"/>
      <c r="F451" s="87"/>
      <c r="G451" s="204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155"/>
      <c r="S451" s="156"/>
      <c r="T451" s="157"/>
      <c r="U451" s="173"/>
      <c r="V451" s="157"/>
      <c r="W451" s="157"/>
      <c r="X451" s="87"/>
      <c r="Y451" s="87"/>
      <c r="Z451" s="87"/>
      <c r="AA451" s="87"/>
    </row>
    <row r="452" ht="12" customHeight="1" spans="1:27">
      <c r="A452" s="87"/>
      <c r="B452" s="87"/>
      <c r="C452" s="87"/>
      <c r="D452" s="87"/>
      <c r="E452" s="203"/>
      <c r="F452" s="87"/>
      <c r="G452" s="204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155"/>
      <c r="S452" s="156"/>
      <c r="T452" s="157"/>
      <c r="U452" s="173"/>
      <c r="V452" s="157"/>
      <c r="W452" s="157"/>
      <c r="X452" s="87"/>
      <c r="Y452" s="87"/>
      <c r="Z452" s="87"/>
      <c r="AA452" s="87"/>
    </row>
    <row r="453" ht="12" customHeight="1" spans="1:27">
      <c r="A453" s="87"/>
      <c r="B453" s="87"/>
      <c r="C453" s="87"/>
      <c r="D453" s="87"/>
      <c r="E453" s="203"/>
      <c r="F453" s="87"/>
      <c r="G453" s="204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155"/>
      <c r="S453" s="156"/>
      <c r="T453" s="157"/>
      <c r="U453" s="173"/>
      <c r="V453" s="157"/>
      <c r="W453" s="157"/>
      <c r="X453" s="87"/>
      <c r="Y453" s="87"/>
      <c r="Z453" s="87"/>
      <c r="AA453" s="87"/>
    </row>
    <row r="454" ht="12" customHeight="1" spans="1:27">
      <c r="A454" s="87"/>
      <c r="B454" s="87"/>
      <c r="C454" s="87"/>
      <c r="D454" s="87"/>
      <c r="E454" s="203"/>
      <c r="F454" s="87"/>
      <c r="G454" s="204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155"/>
      <c r="S454" s="156"/>
      <c r="T454" s="157"/>
      <c r="U454" s="173"/>
      <c r="V454" s="157"/>
      <c r="W454" s="157"/>
      <c r="X454" s="87"/>
      <c r="Y454" s="87"/>
      <c r="Z454" s="87"/>
      <c r="AA454" s="87"/>
    </row>
    <row r="455" ht="12" customHeight="1" spans="1:27">
      <c r="A455" s="87"/>
      <c r="B455" s="87"/>
      <c r="C455" s="87"/>
      <c r="D455" s="87"/>
      <c r="E455" s="203"/>
      <c r="F455" s="87"/>
      <c r="G455" s="204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155"/>
      <c r="S455" s="156"/>
      <c r="T455" s="157"/>
      <c r="U455" s="173"/>
      <c r="V455" s="157"/>
      <c r="W455" s="157"/>
      <c r="X455" s="87"/>
      <c r="Y455" s="87"/>
      <c r="Z455" s="87"/>
      <c r="AA455" s="87"/>
    </row>
    <row r="456" ht="12" customHeight="1" spans="1:27">
      <c r="A456" s="87"/>
      <c r="B456" s="87"/>
      <c r="C456" s="87"/>
      <c r="D456" s="87"/>
      <c r="E456" s="203"/>
      <c r="F456" s="87"/>
      <c r="G456" s="204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155"/>
      <c r="S456" s="156"/>
      <c r="T456" s="157"/>
      <c r="U456" s="173"/>
      <c r="V456" s="157"/>
      <c r="W456" s="157"/>
      <c r="X456" s="87"/>
      <c r="Y456" s="87"/>
      <c r="Z456" s="87"/>
      <c r="AA456" s="87"/>
    </row>
    <row r="457" ht="12" customHeight="1" spans="1:27">
      <c r="A457" s="87"/>
      <c r="B457" s="87"/>
      <c r="C457" s="87"/>
      <c r="D457" s="87"/>
      <c r="E457" s="203"/>
      <c r="F457" s="87"/>
      <c r="G457" s="204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155"/>
      <c r="S457" s="156"/>
      <c r="T457" s="157"/>
      <c r="U457" s="173"/>
      <c r="V457" s="157"/>
      <c r="W457" s="157"/>
      <c r="X457" s="87"/>
      <c r="Y457" s="87"/>
      <c r="Z457" s="87"/>
      <c r="AA457" s="87"/>
    </row>
    <row r="458" ht="12" customHeight="1" spans="1:27">
      <c r="A458" s="87"/>
      <c r="B458" s="87"/>
      <c r="C458" s="87"/>
      <c r="D458" s="87"/>
      <c r="E458" s="203"/>
      <c r="F458" s="87"/>
      <c r="G458" s="204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155"/>
      <c r="S458" s="156"/>
      <c r="T458" s="157"/>
      <c r="U458" s="173"/>
      <c r="V458" s="157"/>
      <c r="W458" s="157"/>
      <c r="X458" s="87"/>
      <c r="Y458" s="87"/>
      <c r="Z458" s="87"/>
      <c r="AA458" s="87"/>
    </row>
    <row r="459" ht="12" customHeight="1" spans="1:27">
      <c r="A459" s="87"/>
      <c r="B459" s="87"/>
      <c r="C459" s="87"/>
      <c r="D459" s="87"/>
      <c r="E459" s="203"/>
      <c r="F459" s="87"/>
      <c r="G459" s="204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155"/>
      <c r="S459" s="156"/>
      <c r="T459" s="157"/>
      <c r="U459" s="173"/>
      <c r="V459" s="157"/>
      <c r="W459" s="157"/>
      <c r="X459" s="87"/>
      <c r="Y459" s="87"/>
      <c r="Z459" s="87"/>
      <c r="AA459" s="87"/>
    </row>
    <row r="460" ht="12" customHeight="1" spans="1:27">
      <c r="A460" s="87"/>
      <c r="B460" s="87"/>
      <c r="C460" s="87"/>
      <c r="D460" s="87"/>
      <c r="E460" s="203"/>
      <c r="F460" s="87"/>
      <c r="G460" s="204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155"/>
      <c r="S460" s="156"/>
      <c r="T460" s="157"/>
      <c r="U460" s="173"/>
      <c r="V460" s="157"/>
      <c r="W460" s="157"/>
      <c r="X460" s="87"/>
      <c r="Y460" s="87"/>
      <c r="Z460" s="87"/>
      <c r="AA460" s="87"/>
    </row>
    <row r="461" ht="12" customHeight="1" spans="1:27">
      <c r="A461" s="87"/>
      <c r="B461" s="87"/>
      <c r="C461" s="87"/>
      <c r="D461" s="87"/>
      <c r="E461" s="203"/>
      <c r="F461" s="87"/>
      <c r="G461" s="204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155"/>
      <c r="S461" s="156"/>
      <c r="T461" s="157"/>
      <c r="U461" s="173"/>
      <c r="V461" s="157"/>
      <c r="W461" s="157"/>
      <c r="X461" s="87"/>
      <c r="Y461" s="87"/>
      <c r="Z461" s="87"/>
      <c r="AA461" s="87"/>
    </row>
    <row r="462" ht="12" customHeight="1" spans="1:27">
      <c r="A462" s="87"/>
      <c r="B462" s="87"/>
      <c r="C462" s="87"/>
      <c r="D462" s="87"/>
      <c r="E462" s="203"/>
      <c r="F462" s="87"/>
      <c r="G462" s="204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155"/>
      <c r="S462" s="156"/>
      <c r="T462" s="157"/>
      <c r="U462" s="173"/>
      <c r="V462" s="157"/>
      <c r="W462" s="157"/>
      <c r="X462" s="87"/>
      <c r="Y462" s="87"/>
      <c r="Z462" s="87"/>
      <c r="AA462" s="87"/>
    </row>
    <row r="463" ht="12" customHeight="1" spans="1:27">
      <c r="A463" s="87"/>
      <c r="B463" s="87"/>
      <c r="C463" s="87"/>
      <c r="D463" s="87"/>
      <c r="E463" s="203"/>
      <c r="F463" s="87"/>
      <c r="G463" s="204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155"/>
      <c r="S463" s="156"/>
      <c r="T463" s="157"/>
      <c r="U463" s="173"/>
      <c r="V463" s="157"/>
      <c r="W463" s="157"/>
      <c r="X463" s="87"/>
      <c r="Y463" s="87"/>
      <c r="Z463" s="87"/>
      <c r="AA463" s="87"/>
    </row>
    <row r="464" ht="12" customHeight="1" spans="1:27">
      <c r="A464" s="87"/>
      <c r="B464" s="87"/>
      <c r="C464" s="87"/>
      <c r="D464" s="87"/>
      <c r="E464" s="203"/>
      <c r="F464" s="87"/>
      <c r="G464" s="204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155"/>
      <c r="S464" s="156"/>
      <c r="T464" s="157"/>
      <c r="U464" s="173"/>
      <c r="V464" s="157"/>
      <c r="W464" s="157"/>
      <c r="X464" s="87"/>
      <c r="Y464" s="87"/>
      <c r="Z464" s="87"/>
      <c r="AA464" s="87"/>
    </row>
    <row r="465" ht="12" customHeight="1" spans="1:27">
      <c r="A465" s="87"/>
      <c r="B465" s="87"/>
      <c r="C465" s="87"/>
      <c r="D465" s="87"/>
      <c r="E465" s="203"/>
      <c r="F465" s="87"/>
      <c r="G465" s="204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155"/>
      <c r="S465" s="156"/>
      <c r="T465" s="157"/>
      <c r="U465" s="173"/>
      <c r="V465" s="157"/>
      <c r="W465" s="157"/>
      <c r="X465" s="87"/>
      <c r="Y465" s="87"/>
      <c r="Z465" s="87"/>
      <c r="AA465" s="87"/>
    </row>
    <row r="466" ht="12" customHeight="1" spans="1:27">
      <c r="A466" s="87"/>
      <c r="B466" s="87"/>
      <c r="C466" s="87"/>
      <c r="D466" s="87"/>
      <c r="E466" s="203"/>
      <c r="F466" s="87"/>
      <c r="G466" s="204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155"/>
      <c r="S466" s="156"/>
      <c r="T466" s="157"/>
      <c r="U466" s="173"/>
      <c r="V466" s="157"/>
      <c r="W466" s="157"/>
      <c r="X466" s="87"/>
      <c r="Y466" s="87"/>
      <c r="Z466" s="87"/>
      <c r="AA466" s="87"/>
    </row>
    <row r="467" ht="12" customHeight="1" spans="1:27">
      <c r="A467" s="87"/>
      <c r="B467" s="87"/>
      <c r="C467" s="87"/>
      <c r="D467" s="87"/>
      <c r="E467" s="203"/>
      <c r="F467" s="87"/>
      <c r="G467" s="204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155"/>
      <c r="S467" s="156"/>
      <c r="T467" s="157"/>
      <c r="U467" s="173"/>
      <c r="V467" s="157"/>
      <c r="W467" s="157"/>
      <c r="X467" s="87"/>
      <c r="Y467" s="87"/>
      <c r="Z467" s="87"/>
      <c r="AA467" s="87"/>
    </row>
    <row r="468" ht="12" customHeight="1" spans="1:27">
      <c r="A468" s="87"/>
      <c r="B468" s="87"/>
      <c r="C468" s="87"/>
      <c r="D468" s="87"/>
      <c r="E468" s="203"/>
      <c r="F468" s="87"/>
      <c r="G468" s="204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155"/>
      <c r="S468" s="156"/>
      <c r="T468" s="157"/>
      <c r="U468" s="173"/>
      <c r="V468" s="157"/>
      <c r="W468" s="157"/>
      <c r="X468" s="87"/>
      <c r="Y468" s="87"/>
      <c r="Z468" s="87"/>
      <c r="AA468" s="87"/>
    </row>
    <row r="469" ht="12" customHeight="1" spans="1:27">
      <c r="A469" s="87"/>
      <c r="B469" s="87"/>
      <c r="C469" s="87"/>
      <c r="D469" s="87"/>
      <c r="E469" s="203"/>
      <c r="F469" s="87"/>
      <c r="G469" s="204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155"/>
      <c r="S469" s="156"/>
      <c r="T469" s="157"/>
      <c r="U469" s="173"/>
      <c r="V469" s="157"/>
      <c r="W469" s="157"/>
      <c r="X469" s="87"/>
      <c r="Y469" s="87"/>
      <c r="Z469" s="87"/>
      <c r="AA469" s="87"/>
    </row>
    <row r="470" ht="12" customHeight="1" spans="1:27">
      <c r="A470" s="87"/>
      <c r="B470" s="87"/>
      <c r="C470" s="87"/>
      <c r="D470" s="87"/>
      <c r="E470" s="203"/>
      <c r="F470" s="87"/>
      <c r="G470" s="204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155"/>
      <c r="S470" s="156"/>
      <c r="T470" s="157"/>
      <c r="U470" s="173"/>
      <c r="V470" s="157"/>
      <c r="W470" s="157"/>
      <c r="X470" s="87"/>
      <c r="Y470" s="87"/>
      <c r="Z470" s="87"/>
      <c r="AA470" s="87"/>
    </row>
    <row r="471" ht="12" customHeight="1" spans="1:27">
      <c r="A471" s="87"/>
      <c r="B471" s="87"/>
      <c r="C471" s="87"/>
      <c r="D471" s="87"/>
      <c r="E471" s="203"/>
      <c r="F471" s="87"/>
      <c r="G471" s="204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155"/>
      <c r="S471" s="156"/>
      <c r="T471" s="157"/>
      <c r="U471" s="173"/>
      <c r="V471" s="157"/>
      <c r="W471" s="157"/>
      <c r="X471" s="87"/>
      <c r="Y471" s="87"/>
      <c r="Z471" s="87"/>
      <c r="AA471" s="87"/>
    </row>
    <row r="472" ht="12" customHeight="1" spans="1:27">
      <c r="A472" s="87"/>
      <c r="B472" s="87"/>
      <c r="C472" s="87"/>
      <c r="D472" s="87"/>
      <c r="E472" s="203"/>
      <c r="F472" s="87"/>
      <c r="G472" s="204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155"/>
      <c r="S472" s="156"/>
      <c r="T472" s="157"/>
      <c r="U472" s="173"/>
      <c r="V472" s="157"/>
      <c r="W472" s="157"/>
      <c r="X472" s="87"/>
      <c r="Y472" s="87"/>
      <c r="Z472" s="87"/>
      <c r="AA472" s="87"/>
    </row>
    <row r="473" ht="12" customHeight="1" spans="1:27">
      <c r="A473" s="87"/>
      <c r="B473" s="87"/>
      <c r="C473" s="87"/>
      <c r="D473" s="87"/>
      <c r="E473" s="203"/>
      <c r="F473" s="87"/>
      <c r="G473" s="204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155"/>
      <c r="S473" s="156"/>
      <c r="T473" s="157"/>
      <c r="U473" s="173"/>
      <c r="V473" s="157"/>
      <c r="W473" s="157"/>
      <c r="X473" s="87"/>
      <c r="Y473" s="87"/>
      <c r="Z473" s="87"/>
      <c r="AA473" s="87"/>
    </row>
    <row r="474" ht="12" customHeight="1" spans="1:27">
      <c r="A474" s="87"/>
      <c r="B474" s="87"/>
      <c r="C474" s="87"/>
      <c r="D474" s="87"/>
      <c r="E474" s="203"/>
      <c r="F474" s="87"/>
      <c r="G474" s="204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155"/>
      <c r="S474" s="156"/>
      <c r="T474" s="157"/>
      <c r="U474" s="173"/>
      <c r="V474" s="157"/>
      <c r="W474" s="157"/>
      <c r="X474" s="87"/>
      <c r="Y474" s="87"/>
      <c r="Z474" s="87"/>
      <c r="AA474" s="87"/>
    </row>
    <row r="475" ht="12" customHeight="1" spans="1:27">
      <c r="A475" s="87"/>
      <c r="B475" s="87"/>
      <c r="C475" s="87"/>
      <c r="D475" s="87"/>
      <c r="E475" s="203"/>
      <c r="F475" s="87"/>
      <c r="G475" s="204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155"/>
      <c r="S475" s="156"/>
      <c r="T475" s="157"/>
      <c r="U475" s="173"/>
      <c r="V475" s="157"/>
      <c r="W475" s="157"/>
      <c r="X475" s="87"/>
      <c r="Y475" s="87"/>
      <c r="Z475" s="87"/>
      <c r="AA475" s="87"/>
    </row>
    <row r="476" ht="12" customHeight="1" spans="1:27">
      <c r="A476" s="87"/>
      <c r="B476" s="87"/>
      <c r="C476" s="87"/>
      <c r="D476" s="87"/>
      <c r="E476" s="203"/>
      <c r="F476" s="87"/>
      <c r="G476" s="204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155"/>
      <c r="S476" s="156"/>
      <c r="T476" s="157"/>
      <c r="U476" s="173"/>
      <c r="V476" s="157"/>
      <c r="W476" s="157"/>
      <c r="X476" s="87"/>
      <c r="Y476" s="87"/>
      <c r="Z476" s="87"/>
      <c r="AA476" s="87"/>
    </row>
    <row r="477" ht="12" customHeight="1" spans="1:27">
      <c r="A477" s="87"/>
      <c r="B477" s="87"/>
      <c r="C477" s="87"/>
      <c r="D477" s="87"/>
      <c r="E477" s="203"/>
      <c r="F477" s="87"/>
      <c r="G477" s="204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155"/>
      <c r="S477" s="156"/>
      <c r="T477" s="157"/>
      <c r="U477" s="173"/>
      <c r="V477" s="157"/>
      <c r="W477" s="157"/>
      <c r="X477" s="87"/>
      <c r="Y477" s="87"/>
      <c r="Z477" s="87"/>
      <c r="AA477" s="87"/>
    </row>
    <row r="478" ht="12" customHeight="1" spans="1:27">
      <c r="A478" s="87"/>
      <c r="B478" s="87"/>
      <c r="C478" s="87"/>
      <c r="D478" s="87"/>
      <c r="E478" s="203"/>
      <c r="F478" s="87"/>
      <c r="G478" s="204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155"/>
      <c r="S478" s="156"/>
      <c r="T478" s="157"/>
      <c r="U478" s="173"/>
      <c r="V478" s="157"/>
      <c r="W478" s="157"/>
      <c r="X478" s="87"/>
      <c r="Y478" s="87"/>
      <c r="Z478" s="87"/>
      <c r="AA478" s="87"/>
    </row>
    <row r="479" ht="12" customHeight="1" spans="1:27">
      <c r="A479" s="87"/>
      <c r="B479" s="87"/>
      <c r="C479" s="87"/>
      <c r="D479" s="87"/>
      <c r="E479" s="203"/>
      <c r="F479" s="87"/>
      <c r="G479" s="204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155"/>
      <c r="S479" s="156"/>
      <c r="T479" s="157"/>
      <c r="U479" s="173"/>
      <c r="V479" s="157"/>
      <c r="W479" s="157"/>
      <c r="X479" s="87"/>
      <c r="Y479" s="87"/>
      <c r="Z479" s="87"/>
      <c r="AA479" s="87"/>
    </row>
    <row r="480" ht="12" customHeight="1" spans="1:27">
      <c r="A480" s="87"/>
      <c r="B480" s="87"/>
      <c r="C480" s="87"/>
      <c r="D480" s="87"/>
      <c r="E480" s="203"/>
      <c r="F480" s="87"/>
      <c r="G480" s="204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155"/>
      <c r="S480" s="156"/>
      <c r="T480" s="157"/>
      <c r="U480" s="173"/>
      <c r="V480" s="157"/>
      <c r="W480" s="157"/>
      <c r="X480" s="87"/>
      <c r="Y480" s="87"/>
      <c r="Z480" s="87"/>
      <c r="AA480" s="87"/>
    </row>
    <row r="481" ht="12" customHeight="1" spans="1:27">
      <c r="A481" s="87"/>
      <c r="B481" s="87"/>
      <c r="C481" s="87"/>
      <c r="D481" s="87"/>
      <c r="E481" s="203"/>
      <c r="F481" s="87"/>
      <c r="G481" s="204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155"/>
      <c r="S481" s="156"/>
      <c r="T481" s="157"/>
      <c r="U481" s="173"/>
      <c r="V481" s="157"/>
      <c r="W481" s="157"/>
      <c r="X481" s="87"/>
      <c r="Y481" s="87"/>
      <c r="Z481" s="87"/>
      <c r="AA481" s="87"/>
    </row>
    <row r="482" ht="12" customHeight="1" spans="1:27">
      <c r="A482" s="87"/>
      <c r="B482" s="87"/>
      <c r="C482" s="87"/>
      <c r="D482" s="87"/>
      <c r="E482" s="203"/>
      <c r="F482" s="87"/>
      <c r="G482" s="204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155"/>
      <c r="S482" s="156"/>
      <c r="T482" s="157"/>
      <c r="U482" s="173"/>
      <c r="V482" s="157"/>
      <c r="W482" s="157"/>
      <c r="X482" s="87"/>
      <c r="Y482" s="87"/>
      <c r="Z482" s="87"/>
      <c r="AA482" s="87"/>
    </row>
    <row r="483" ht="12" customHeight="1" spans="1:27">
      <c r="A483" s="87"/>
      <c r="B483" s="87"/>
      <c r="C483" s="87"/>
      <c r="D483" s="87"/>
      <c r="E483" s="203"/>
      <c r="F483" s="87"/>
      <c r="G483" s="204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155"/>
      <c r="S483" s="156"/>
      <c r="T483" s="157"/>
      <c r="U483" s="173"/>
      <c r="V483" s="157"/>
      <c r="W483" s="157"/>
      <c r="X483" s="87"/>
      <c r="Y483" s="87"/>
      <c r="Z483" s="87"/>
      <c r="AA483" s="87"/>
    </row>
    <row r="484" ht="12" customHeight="1" spans="1:27">
      <c r="A484" s="87"/>
      <c r="B484" s="87"/>
      <c r="C484" s="87"/>
      <c r="D484" s="87"/>
      <c r="E484" s="203"/>
      <c r="F484" s="87"/>
      <c r="G484" s="204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155"/>
      <c r="S484" s="156"/>
      <c r="T484" s="157"/>
      <c r="U484" s="173"/>
      <c r="V484" s="157"/>
      <c r="W484" s="157"/>
      <c r="X484" s="87"/>
      <c r="Y484" s="87"/>
      <c r="Z484" s="87"/>
      <c r="AA484" s="87"/>
    </row>
    <row r="485" ht="12" customHeight="1" spans="1:27">
      <c r="A485" s="87"/>
      <c r="B485" s="87"/>
      <c r="C485" s="87"/>
      <c r="D485" s="87"/>
      <c r="E485" s="203"/>
      <c r="F485" s="87"/>
      <c r="G485" s="204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155"/>
      <c r="S485" s="156"/>
      <c r="T485" s="157"/>
      <c r="U485" s="173"/>
      <c r="V485" s="157"/>
      <c r="W485" s="157"/>
      <c r="X485" s="87"/>
      <c r="Y485" s="87"/>
      <c r="Z485" s="87"/>
      <c r="AA485" s="87"/>
    </row>
    <row r="486" ht="12" customHeight="1" spans="1:27">
      <c r="A486" s="87"/>
      <c r="B486" s="87"/>
      <c r="C486" s="87"/>
      <c r="D486" s="87"/>
      <c r="E486" s="203"/>
      <c r="F486" s="87"/>
      <c r="G486" s="204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155"/>
      <c r="S486" s="156"/>
      <c r="T486" s="157"/>
      <c r="U486" s="173"/>
      <c r="V486" s="157"/>
      <c r="W486" s="157"/>
      <c r="X486" s="87"/>
      <c r="Y486" s="87"/>
      <c r="Z486" s="87"/>
      <c r="AA486" s="87"/>
    </row>
    <row r="487" ht="12" customHeight="1" spans="1:27">
      <c r="A487" s="87"/>
      <c r="B487" s="87"/>
      <c r="C487" s="87"/>
      <c r="D487" s="87"/>
      <c r="E487" s="203"/>
      <c r="F487" s="87"/>
      <c r="G487" s="204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155"/>
      <c r="S487" s="156"/>
      <c r="T487" s="157"/>
      <c r="U487" s="173"/>
      <c r="V487" s="157"/>
      <c r="W487" s="157"/>
      <c r="X487" s="87"/>
      <c r="Y487" s="87"/>
      <c r="Z487" s="87"/>
      <c r="AA487" s="87"/>
    </row>
    <row r="488" ht="12" customHeight="1" spans="1:27">
      <c r="A488" s="87"/>
      <c r="B488" s="87"/>
      <c r="C488" s="87"/>
      <c r="D488" s="87"/>
      <c r="E488" s="203"/>
      <c r="F488" s="87"/>
      <c r="G488" s="204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155"/>
      <c r="S488" s="156"/>
      <c r="T488" s="157"/>
      <c r="U488" s="173"/>
      <c r="V488" s="157"/>
      <c r="W488" s="157"/>
      <c r="X488" s="87"/>
      <c r="Y488" s="87"/>
      <c r="Z488" s="87"/>
      <c r="AA488" s="87"/>
    </row>
    <row r="489" ht="12" customHeight="1" spans="1:27">
      <c r="A489" s="87"/>
      <c r="B489" s="87"/>
      <c r="C489" s="87"/>
      <c r="D489" s="87"/>
      <c r="E489" s="203"/>
      <c r="F489" s="87"/>
      <c r="G489" s="204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155"/>
      <c r="S489" s="156"/>
      <c r="T489" s="157"/>
      <c r="U489" s="173"/>
      <c r="V489" s="157"/>
      <c r="W489" s="157"/>
      <c r="X489" s="87"/>
      <c r="Y489" s="87"/>
      <c r="Z489" s="87"/>
      <c r="AA489" s="87"/>
    </row>
    <row r="490" ht="12" customHeight="1" spans="1:27">
      <c r="A490" s="87"/>
      <c r="B490" s="87"/>
      <c r="C490" s="87"/>
      <c r="D490" s="87"/>
      <c r="E490" s="203"/>
      <c r="F490" s="87"/>
      <c r="G490" s="204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155"/>
      <c r="S490" s="156"/>
      <c r="T490" s="157"/>
      <c r="U490" s="173"/>
      <c r="V490" s="157"/>
      <c r="W490" s="157"/>
      <c r="X490" s="87"/>
      <c r="Y490" s="87"/>
      <c r="Z490" s="87"/>
      <c r="AA490" s="87"/>
    </row>
    <row r="491" ht="12" customHeight="1" spans="1:27">
      <c r="A491" s="87"/>
      <c r="B491" s="87"/>
      <c r="C491" s="87"/>
      <c r="D491" s="87"/>
      <c r="E491" s="203"/>
      <c r="F491" s="87"/>
      <c r="G491" s="204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155"/>
      <c r="S491" s="156"/>
      <c r="T491" s="157"/>
      <c r="U491" s="173"/>
      <c r="V491" s="157"/>
      <c r="W491" s="157"/>
      <c r="X491" s="87"/>
      <c r="Y491" s="87"/>
      <c r="Z491" s="87"/>
      <c r="AA491" s="87"/>
    </row>
    <row r="492" ht="12" customHeight="1" spans="1:27">
      <c r="A492" s="87"/>
      <c r="B492" s="87"/>
      <c r="C492" s="87"/>
      <c r="D492" s="87"/>
      <c r="E492" s="203"/>
      <c r="F492" s="87"/>
      <c r="G492" s="204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155"/>
      <c r="S492" s="156"/>
      <c r="T492" s="157"/>
      <c r="U492" s="173"/>
      <c r="V492" s="157"/>
      <c r="W492" s="157"/>
      <c r="X492" s="87"/>
      <c r="Y492" s="87"/>
      <c r="Z492" s="87"/>
      <c r="AA492" s="87"/>
    </row>
    <row r="493" ht="12" customHeight="1" spans="1:27">
      <c r="A493" s="87"/>
      <c r="B493" s="87"/>
      <c r="C493" s="87"/>
      <c r="D493" s="87"/>
      <c r="E493" s="203"/>
      <c r="F493" s="87"/>
      <c r="G493" s="204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155"/>
      <c r="S493" s="156"/>
      <c r="T493" s="157"/>
      <c r="U493" s="173"/>
      <c r="V493" s="157"/>
      <c r="W493" s="157"/>
      <c r="X493" s="87"/>
      <c r="Y493" s="87"/>
      <c r="Z493" s="87"/>
      <c r="AA493" s="87"/>
    </row>
    <row r="494" ht="12" customHeight="1" spans="1:27">
      <c r="A494" s="87"/>
      <c r="B494" s="87"/>
      <c r="C494" s="87"/>
      <c r="D494" s="87"/>
      <c r="E494" s="203"/>
      <c r="F494" s="87"/>
      <c r="G494" s="204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155"/>
      <c r="S494" s="156"/>
      <c r="T494" s="157"/>
      <c r="U494" s="173"/>
      <c r="V494" s="157"/>
      <c r="W494" s="157"/>
      <c r="X494" s="87"/>
      <c r="Y494" s="87"/>
      <c r="Z494" s="87"/>
      <c r="AA494" s="87"/>
    </row>
    <row r="495" ht="12" customHeight="1" spans="1:27">
      <c r="A495" s="87"/>
      <c r="B495" s="87"/>
      <c r="C495" s="87"/>
      <c r="D495" s="87"/>
      <c r="E495" s="203"/>
      <c r="F495" s="87"/>
      <c r="G495" s="204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155"/>
      <c r="S495" s="156"/>
      <c r="T495" s="157"/>
      <c r="U495" s="173"/>
      <c r="V495" s="157"/>
      <c r="W495" s="157"/>
      <c r="X495" s="87"/>
      <c r="Y495" s="87"/>
      <c r="Z495" s="87"/>
      <c r="AA495" s="87"/>
    </row>
    <row r="496" ht="12" customHeight="1" spans="1:27">
      <c r="A496" s="87"/>
      <c r="B496" s="87"/>
      <c r="C496" s="87"/>
      <c r="D496" s="87"/>
      <c r="E496" s="203"/>
      <c r="F496" s="87"/>
      <c r="G496" s="204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155"/>
      <c r="S496" s="156"/>
      <c r="T496" s="157"/>
      <c r="U496" s="173"/>
      <c r="V496" s="157"/>
      <c r="W496" s="157"/>
      <c r="X496" s="87"/>
      <c r="Y496" s="87"/>
      <c r="Z496" s="87"/>
      <c r="AA496" s="87"/>
    </row>
    <row r="497" ht="12" customHeight="1" spans="1:27">
      <c r="A497" s="87"/>
      <c r="B497" s="87"/>
      <c r="C497" s="87"/>
      <c r="D497" s="87"/>
      <c r="E497" s="203"/>
      <c r="F497" s="87"/>
      <c r="G497" s="204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155"/>
      <c r="S497" s="156"/>
      <c r="T497" s="157"/>
      <c r="U497" s="173"/>
      <c r="V497" s="157"/>
      <c r="W497" s="157"/>
      <c r="X497" s="87"/>
      <c r="Y497" s="87"/>
      <c r="Z497" s="87"/>
      <c r="AA497" s="87"/>
    </row>
    <row r="498" ht="12" customHeight="1" spans="1:27">
      <c r="A498" s="87"/>
      <c r="B498" s="87"/>
      <c r="C498" s="87"/>
      <c r="D498" s="87"/>
      <c r="E498" s="203"/>
      <c r="F498" s="87"/>
      <c r="G498" s="204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155"/>
      <c r="S498" s="156"/>
      <c r="T498" s="157"/>
      <c r="U498" s="173"/>
      <c r="V498" s="157"/>
      <c r="W498" s="157"/>
      <c r="X498" s="87"/>
      <c r="Y498" s="87"/>
      <c r="Z498" s="87"/>
      <c r="AA498" s="87"/>
    </row>
    <row r="499" ht="12" customHeight="1" spans="1:27">
      <c r="A499" s="87"/>
      <c r="B499" s="87"/>
      <c r="C499" s="87"/>
      <c r="D499" s="87"/>
      <c r="E499" s="203"/>
      <c r="F499" s="87"/>
      <c r="G499" s="204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155"/>
      <c r="S499" s="156"/>
      <c r="T499" s="157"/>
      <c r="U499" s="173"/>
      <c r="V499" s="157"/>
      <c r="W499" s="157"/>
      <c r="X499" s="87"/>
      <c r="Y499" s="87"/>
      <c r="Z499" s="87"/>
      <c r="AA499" s="87"/>
    </row>
    <row r="500" ht="12" customHeight="1" spans="1:27">
      <c r="A500" s="87"/>
      <c r="B500" s="87"/>
      <c r="C500" s="87"/>
      <c r="D500" s="87"/>
      <c r="E500" s="203"/>
      <c r="F500" s="87"/>
      <c r="G500" s="204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155"/>
      <c r="S500" s="156"/>
      <c r="T500" s="157"/>
      <c r="U500" s="173"/>
      <c r="V500" s="157"/>
      <c r="W500" s="157"/>
      <c r="X500" s="87"/>
      <c r="Y500" s="87"/>
      <c r="Z500" s="87"/>
      <c r="AA500" s="87"/>
    </row>
    <row r="501" ht="12" customHeight="1" spans="1:27">
      <c r="A501" s="87"/>
      <c r="B501" s="87"/>
      <c r="C501" s="87"/>
      <c r="D501" s="87"/>
      <c r="E501" s="203"/>
      <c r="F501" s="87"/>
      <c r="G501" s="204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155"/>
      <c r="S501" s="156"/>
      <c r="T501" s="157"/>
      <c r="U501" s="173"/>
      <c r="V501" s="157"/>
      <c r="W501" s="157"/>
      <c r="X501" s="87"/>
      <c r="Y501" s="87"/>
      <c r="Z501" s="87"/>
      <c r="AA501" s="87"/>
    </row>
    <row r="502" ht="12" customHeight="1" spans="1:27">
      <c r="A502" s="87"/>
      <c r="B502" s="87"/>
      <c r="C502" s="87"/>
      <c r="D502" s="87"/>
      <c r="E502" s="203"/>
      <c r="F502" s="87"/>
      <c r="G502" s="204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155"/>
      <c r="S502" s="156"/>
      <c r="T502" s="157"/>
      <c r="U502" s="173"/>
      <c r="V502" s="157"/>
      <c r="W502" s="157"/>
      <c r="X502" s="87"/>
      <c r="Y502" s="87"/>
      <c r="Z502" s="87"/>
      <c r="AA502" s="87"/>
    </row>
    <row r="503" ht="12" customHeight="1" spans="1:27">
      <c r="A503" s="87"/>
      <c r="B503" s="87"/>
      <c r="C503" s="87"/>
      <c r="D503" s="87"/>
      <c r="E503" s="203"/>
      <c r="F503" s="87"/>
      <c r="G503" s="204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155"/>
      <c r="S503" s="156"/>
      <c r="T503" s="157"/>
      <c r="U503" s="173"/>
      <c r="V503" s="157"/>
      <c r="W503" s="157"/>
      <c r="X503" s="87"/>
      <c r="Y503" s="87"/>
      <c r="Z503" s="87"/>
      <c r="AA503" s="87"/>
    </row>
    <row r="504" ht="12" customHeight="1" spans="1:27">
      <c r="A504" s="87"/>
      <c r="B504" s="87"/>
      <c r="C504" s="87"/>
      <c r="D504" s="87"/>
      <c r="E504" s="203"/>
      <c r="F504" s="87"/>
      <c r="G504" s="204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155"/>
      <c r="S504" s="156"/>
      <c r="T504" s="157"/>
      <c r="U504" s="173"/>
      <c r="V504" s="157"/>
      <c r="W504" s="157"/>
      <c r="X504" s="87"/>
      <c r="Y504" s="87"/>
      <c r="Z504" s="87"/>
      <c r="AA504" s="87"/>
    </row>
    <row r="505" ht="12" customHeight="1" spans="1:27">
      <c r="A505" s="87"/>
      <c r="B505" s="87"/>
      <c r="C505" s="87"/>
      <c r="D505" s="87"/>
      <c r="E505" s="203"/>
      <c r="F505" s="87"/>
      <c r="G505" s="204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155"/>
      <c r="S505" s="156"/>
      <c r="T505" s="157"/>
      <c r="U505" s="173"/>
      <c r="V505" s="157"/>
      <c r="W505" s="157"/>
      <c r="X505" s="87"/>
      <c r="Y505" s="87"/>
      <c r="Z505" s="87"/>
      <c r="AA505" s="87"/>
    </row>
    <row r="506" ht="12" customHeight="1" spans="1:27">
      <c r="A506" s="87"/>
      <c r="B506" s="87"/>
      <c r="C506" s="87"/>
      <c r="D506" s="87"/>
      <c r="E506" s="203"/>
      <c r="F506" s="87"/>
      <c r="G506" s="204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155"/>
      <c r="S506" s="156"/>
      <c r="T506" s="157"/>
      <c r="U506" s="173"/>
      <c r="V506" s="157"/>
      <c r="W506" s="157"/>
      <c r="X506" s="87"/>
      <c r="Y506" s="87"/>
      <c r="Z506" s="87"/>
      <c r="AA506" s="87"/>
    </row>
    <row r="507" ht="12" customHeight="1" spans="1:27">
      <c r="A507" s="87"/>
      <c r="B507" s="87"/>
      <c r="C507" s="87"/>
      <c r="D507" s="87"/>
      <c r="E507" s="203"/>
      <c r="F507" s="87"/>
      <c r="G507" s="204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155"/>
      <c r="S507" s="156"/>
      <c r="T507" s="157"/>
      <c r="U507" s="173"/>
      <c r="V507" s="157"/>
      <c r="W507" s="157"/>
      <c r="X507" s="87"/>
      <c r="Y507" s="87"/>
      <c r="Z507" s="87"/>
      <c r="AA507" s="87"/>
    </row>
    <row r="508" ht="12" customHeight="1" spans="1:27">
      <c r="A508" s="87"/>
      <c r="B508" s="87"/>
      <c r="C508" s="87"/>
      <c r="D508" s="87"/>
      <c r="E508" s="203"/>
      <c r="F508" s="87"/>
      <c r="G508" s="204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155"/>
      <c r="S508" s="156"/>
      <c r="T508" s="157"/>
      <c r="U508" s="173"/>
      <c r="V508" s="157"/>
      <c r="W508" s="157"/>
      <c r="X508" s="87"/>
      <c r="Y508" s="87"/>
      <c r="Z508" s="87"/>
      <c r="AA508" s="87"/>
    </row>
    <row r="509" ht="12" customHeight="1" spans="1:27">
      <c r="A509" s="87"/>
      <c r="B509" s="87"/>
      <c r="C509" s="87"/>
      <c r="D509" s="87"/>
      <c r="E509" s="203"/>
      <c r="F509" s="87"/>
      <c r="G509" s="204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155"/>
      <c r="S509" s="156"/>
      <c r="T509" s="157"/>
      <c r="U509" s="173"/>
      <c r="V509" s="157"/>
      <c r="W509" s="157"/>
      <c r="X509" s="87"/>
      <c r="Y509" s="87"/>
      <c r="Z509" s="87"/>
      <c r="AA509" s="87"/>
    </row>
    <row r="510" ht="12" customHeight="1" spans="1:27">
      <c r="A510" s="87"/>
      <c r="B510" s="87"/>
      <c r="C510" s="87"/>
      <c r="D510" s="87"/>
      <c r="E510" s="203"/>
      <c r="F510" s="87"/>
      <c r="G510" s="204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155"/>
      <c r="S510" s="156"/>
      <c r="T510" s="157"/>
      <c r="U510" s="173"/>
      <c r="V510" s="157"/>
      <c r="W510" s="157"/>
      <c r="X510" s="87"/>
      <c r="Y510" s="87"/>
      <c r="Z510" s="87"/>
      <c r="AA510" s="87"/>
    </row>
    <row r="511" ht="12" customHeight="1" spans="1:27">
      <c r="A511" s="87"/>
      <c r="B511" s="87"/>
      <c r="C511" s="87"/>
      <c r="D511" s="87"/>
      <c r="E511" s="203"/>
      <c r="F511" s="87"/>
      <c r="G511" s="204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155"/>
      <c r="S511" s="156"/>
      <c r="T511" s="157"/>
      <c r="U511" s="173"/>
      <c r="V511" s="157"/>
      <c r="W511" s="157"/>
      <c r="X511" s="87"/>
      <c r="Y511" s="87"/>
      <c r="Z511" s="87"/>
      <c r="AA511" s="87"/>
    </row>
    <row r="512" ht="12" customHeight="1" spans="1:27">
      <c r="A512" s="87"/>
      <c r="B512" s="87"/>
      <c r="C512" s="87"/>
      <c r="D512" s="87"/>
      <c r="E512" s="203"/>
      <c r="F512" s="87"/>
      <c r="G512" s="204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155"/>
      <c r="S512" s="156"/>
      <c r="T512" s="157"/>
      <c r="U512" s="173"/>
      <c r="V512" s="157"/>
      <c r="W512" s="157"/>
      <c r="X512" s="87"/>
      <c r="Y512" s="87"/>
      <c r="Z512" s="87"/>
      <c r="AA512" s="87"/>
    </row>
    <row r="513" ht="12" customHeight="1" spans="1:27">
      <c r="A513" s="87"/>
      <c r="B513" s="87"/>
      <c r="C513" s="87"/>
      <c r="D513" s="87"/>
      <c r="E513" s="203"/>
      <c r="F513" s="87"/>
      <c r="G513" s="204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155"/>
      <c r="S513" s="156"/>
      <c r="T513" s="157"/>
      <c r="U513" s="173"/>
      <c r="V513" s="157"/>
      <c r="W513" s="157"/>
      <c r="X513" s="87"/>
      <c r="Y513" s="87"/>
      <c r="Z513" s="87"/>
      <c r="AA513" s="87"/>
    </row>
    <row r="514" ht="12" customHeight="1" spans="1:27">
      <c r="A514" s="87"/>
      <c r="B514" s="87"/>
      <c r="C514" s="87"/>
      <c r="D514" s="87"/>
      <c r="E514" s="203"/>
      <c r="F514" s="87"/>
      <c r="G514" s="204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155"/>
      <c r="S514" s="156"/>
      <c r="T514" s="157"/>
      <c r="U514" s="173"/>
      <c r="V514" s="157"/>
      <c r="W514" s="157"/>
      <c r="X514" s="87"/>
      <c r="Y514" s="87"/>
      <c r="Z514" s="87"/>
      <c r="AA514" s="87"/>
    </row>
    <row r="515" ht="12" customHeight="1" spans="1:27">
      <c r="A515" s="87"/>
      <c r="B515" s="87"/>
      <c r="C515" s="87"/>
      <c r="D515" s="87"/>
      <c r="E515" s="203"/>
      <c r="F515" s="87"/>
      <c r="G515" s="204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155"/>
      <c r="S515" s="156"/>
      <c r="T515" s="157"/>
      <c r="U515" s="173"/>
      <c r="V515" s="157"/>
      <c r="W515" s="157"/>
      <c r="X515" s="87"/>
      <c r="Y515" s="87"/>
      <c r="Z515" s="87"/>
      <c r="AA515" s="87"/>
    </row>
    <row r="516" ht="12" customHeight="1" spans="1:27">
      <c r="A516" s="87"/>
      <c r="B516" s="87"/>
      <c r="C516" s="87"/>
      <c r="D516" s="87"/>
      <c r="E516" s="203"/>
      <c r="F516" s="87"/>
      <c r="G516" s="204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155"/>
      <c r="S516" s="156"/>
      <c r="T516" s="157"/>
      <c r="U516" s="173"/>
      <c r="V516" s="157"/>
      <c r="W516" s="157"/>
      <c r="X516" s="87"/>
      <c r="Y516" s="87"/>
      <c r="Z516" s="87"/>
      <c r="AA516" s="87"/>
    </row>
    <row r="517" ht="12" customHeight="1" spans="1:27">
      <c r="A517" s="87"/>
      <c r="B517" s="87"/>
      <c r="C517" s="87"/>
      <c r="D517" s="87"/>
      <c r="E517" s="203"/>
      <c r="F517" s="87"/>
      <c r="G517" s="204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155"/>
      <c r="S517" s="156"/>
      <c r="T517" s="157"/>
      <c r="U517" s="173"/>
      <c r="V517" s="157"/>
      <c r="W517" s="157"/>
      <c r="X517" s="87"/>
      <c r="Y517" s="87"/>
      <c r="Z517" s="87"/>
      <c r="AA517" s="87"/>
    </row>
    <row r="518" ht="12" customHeight="1" spans="1:27">
      <c r="A518" s="87"/>
      <c r="B518" s="87"/>
      <c r="C518" s="87"/>
      <c r="D518" s="87"/>
      <c r="E518" s="203"/>
      <c r="F518" s="87"/>
      <c r="G518" s="204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155"/>
      <c r="S518" s="156"/>
      <c r="T518" s="157"/>
      <c r="U518" s="173"/>
      <c r="V518" s="157"/>
      <c r="W518" s="157"/>
      <c r="X518" s="87"/>
      <c r="Y518" s="87"/>
      <c r="Z518" s="87"/>
      <c r="AA518" s="87"/>
    </row>
    <row r="519" ht="12" customHeight="1" spans="1:27">
      <c r="A519" s="87"/>
      <c r="B519" s="87"/>
      <c r="C519" s="87"/>
      <c r="D519" s="87"/>
      <c r="E519" s="203"/>
      <c r="F519" s="87"/>
      <c r="G519" s="204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155"/>
      <c r="S519" s="156"/>
      <c r="T519" s="157"/>
      <c r="U519" s="173"/>
      <c r="V519" s="157"/>
      <c r="W519" s="157"/>
      <c r="X519" s="87"/>
      <c r="Y519" s="87"/>
      <c r="Z519" s="87"/>
      <c r="AA519" s="87"/>
    </row>
    <row r="520" ht="12" customHeight="1" spans="1:27">
      <c r="A520" s="87"/>
      <c r="B520" s="87"/>
      <c r="C520" s="87"/>
      <c r="D520" s="87"/>
      <c r="E520" s="203"/>
      <c r="F520" s="87"/>
      <c r="G520" s="204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155"/>
      <c r="S520" s="156"/>
      <c r="T520" s="157"/>
      <c r="U520" s="173"/>
      <c r="V520" s="157"/>
      <c r="W520" s="157"/>
      <c r="X520" s="87"/>
      <c r="Y520" s="87"/>
      <c r="Z520" s="87"/>
      <c r="AA520" s="87"/>
    </row>
    <row r="521" ht="12" customHeight="1" spans="1:27">
      <c r="A521" s="87"/>
      <c r="B521" s="87"/>
      <c r="C521" s="87"/>
      <c r="D521" s="87"/>
      <c r="E521" s="203"/>
      <c r="F521" s="87"/>
      <c r="G521" s="204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155"/>
      <c r="S521" s="156"/>
      <c r="T521" s="157"/>
      <c r="U521" s="173"/>
      <c r="V521" s="157"/>
      <c r="W521" s="157"/>
      <c r="X521" s="87"/>
      <c r="Y521" s="87"/>
      <c r="Z521" s="87"/>
      <c r="AA521" s="87"/>
    </row>
    <row r="522" ht="12" customHeight="1" spans="1:27">
      <c r="A522" s="87"/>
      <c r="B522" s="87"/>
      <c r="C522" s="87"/>
      <c r="D522" s="87"/>
      <c r="E522" s="203"/>
      <c r="F522" s="87"/>
      <c r="G522" s="204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155"/>
      <c r="S522" s="156"/>
      <c r="T522" s="157"/>
      <c r="U522" s="173"/>
      <c r="V522" s="157"/>
      <c r="W522" s="157"/>
      <c r="X522" s="87"/>
      <c r="Y522" s="87"/>
      <c r="Z522" s="87"/>
      <c r="AA522" s="87"/>
    </row>
    <row r="523" ht="12" customHeight="1" spans="1:27">
      <c r="A523" s="87"/>
      <c r="B523" s="87"/>
      <c r="C523" s="87"/>
      <c r="D523" s="87"/>
      <c r="E523" s="203"/>
      <c r="F523" s="87"/>
      <c r="G523" s="204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155"/>
      <c r="S523" s="156"/>
      <c r="T523" s="157"/>
      <c r="U523" s="173"/>
      <c r="V523" s="157"/>
      <c r="W523" s="157"/>
      <c r="X523" s="87"/>
      <c r="Y523" s="87"/>
      <c r="Z523" s="87"/>
      <c r="AA523" s="87"/>
    </row>
    <row r="524" ht="12" customHeight="1" spans="1:27">
      <c r="A524" s="87"/>
      <c r="B524" s="87"/>
      <c r="C524" s="87"/>
      <c r="D524" s="87"/>
      <c r="E524" s="203"/>
      <c r="F524" s="87"/>
      <c r="G524" s="204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155"/>
      <c r="S524" s="156"/>
      <c r="T524" s="157"/>
      <c r="U524" s="173"/>
      <c r="V524" s="157"/>
      <c r="W524" s="157"/>
      <c r="X524" s="87"/>
      <c r="Y524" s="87"/>
      <c r="Z524" s="87"/>
      <c r="AA524" s="87"/>
    </row>
    <row r="525" ht="12" customHeight="1" spans="1:27">
      <c r="A525" s="87"/>
      <c r="B525" s="87"/>
      <c r="C525" s="87"/>
      <c r="D525" s="87"/>
      <c r="E525" s="203"/>
      <c r="F525" s="87"/>
      <c r="G525" s="204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155"/>
      <c r="S525" s="156"/>
      <c r="T525" s="157"/>
      <c r="U525" s="173"/>
      <c r="V525" s="157"/>
      <c r="W525" s="157"/>
      <c r="X525" s="87"/>
      <c r="Y525" s="87"/>
      <c r="Z525" s="87"/>
      <c r="AA525" s="87"/>
    </row>
    <row r="526" ht="12" customHeight="1" spans="1:27">
      <c r="A526" s="87"/>
      <c r="B526" s="87"/>
      <c r="C526" s="87"/>
      <c r="D526" s="87"/>
      <c r="E526" s="203"/>
      <c r="F526" s="87"/>
      <c r="G526" s="204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155"/>
      <c r="S526" s="156"/>
      <c r="T526" s="157"/>
      <c r="U526" s="173"/>
      <c r="V526" s="157"/>
      <c r="W526" s="157"/>
      <c r="X526" s="87"/>
      <c r="Y526" s="87"/>
      <c r="Z526" s="87"/>
      <c r="AA526" s="87"/>
    </row>
    <row r="527" ht="12" customHeight="1" spans="1:27">
      <c r="A527" s="87"/>
      <c r="B527" s="87"/>
      <c r="C527" s="87"/>
      <c r="D527" s="87"/>
      <c r="E527" s="203"/>
      <c r="F527" s="87"/>
      <c r="G527" s="204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155"/>
      <c r="S527" s="156"/>
      <c r="T527" s="157"/>
      <c r="U527" s="173"/>
      <c r="V527" s="157"/>
      <c r="W527" s="157"/>
      <c r="X527" s="87"/>
      <c r="Y527" s="87"/>
      <c r="Z527" s="87"/>
      <c r="AA527" s="87"/>
    </row>
    <row r="528" ht="12" customHeight="1" spans="1:27">
      <c r="A528" s="87"/>
      <c r="B528" s="87"/>
      <c r="C528" s="87"/>
      <c r="D528" s="87"/>
      <c r="E528" s="203"/>
      <c r="F528" s="87"/>
      <c r="G528" s="204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155"/>
      <c r="S528" s="156"/>
      <c r="T528" s="157"/>
      <c r="U528" s="173"/>
      <c r="V528" s="157"/>
      <c r="W528" s="157"/>
      <c r="X528" s="87"/>
      <c r="Y528" s="87"/>
      <c r="Z528" s="87"/>
      <c r="AA528" s="87"/>
    </row>
    <row r="529" ht="12" customHeight="1" spans="1:27">
      <c r="A529" s="87"/>
      <c r="B529" s="87"/>
      <c r="C529" s="87"/>
      <c r="D529" s="87"/>
      <c r="E529" s="203"/>
      <c r="F529" s="87"/>
      <c r="G529" s="204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155"/>
      <c r="S529" s="156"/>
      <c r="T529" s="157"/>
      <c r="U529" s="173"/>
      <c r="V529" s="157"/>
      <c r="W529" s="157"/>
      <c r="X529" s="87"/>
      <c r="Y529" s="87"/>
      <c r="Z529" s="87"/>
      <c r="AA529" s="87"/>
    </row>
    <row r="530" ht="12" customHeight="1" spans="1:27">
      <c r="A530" s="87"/>
      <c r="B530" s="87"/>
      <c r="C530" s="87"/>
      <c r="D530" s="87"/>
      <c r="E530" s="203"/>
      <c r="F530" s="87"/>
      <c r="G530" s="204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155"/>
      <c r="S530" s="156"/>
      <c r="T530" s="157"/>
      <c r="U530" s="173"/>
      <c r="V530" s="157"/>
      <c r="W530" s="157"/>
      <c r="X530" s="87"/>
      <c r="Y530" s="87"/>
      <c r="Z530" s="87"/>
      <c r="AA530" s="87"/>
    </row>
    <row r="531" ht="12" customHeight="1" spans="1:27">
      <c r="A531" s="87"/>
      <c r="B531" s="87"/>
      <c r="C531" s="87"/>
      <c r="D531" s="87"/>
      <c r="E531" s="203"/>
      <c r="F531" s="87"/>
      <c r="G531" s="204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155"/>
      <c r="S531" s="156"/>
      <c r="T531" s="157"/>
      <c r="U531" s="173"/>
      <c r="V531" s="157"/>
      <c r="W531" s="157"/>
      <c r="X531" s="87"/>
      <c r="Y531" s="87"/>
      <c r="Z531" s="87"/>
      <c r="AA531" s="87"/>
    </row>
    <row r="532" ht="12" customHeight="1" spans="1:27">
      <c r="A532" s="87"/>
      <c r="B532" s="87"/>
      <c r="C532" s="87"/>
      <c r="D532" s="87"/>
      <c r="E532" s="203"/>
      <c r="F532" s="87"/>
      <c r="G532" s="204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155"/>
      <c r="S532" s="156"/>
      <c r="T532" s="157"/>
      <c r="U532" s="173"/>
      <c r="V532" s="157"/>
      <c r="W532" s="157"/>
      <c r="X532" s="87"/>
      <c r="Y532" s="87"/>
      <c r="Z532" s="87"/>
      <c r="AA532" s="87"/>
    </row>
    <row r="533" ht="12" customHeight="1" spans="1:27">
      <c r="A533" s="87"/>
      <c r="B533" s="87"/>
      <c r="C533" s="87"/>
      <c r="D533" s="87"/>
      <c r="E533" s="203"/>
      <c r="F533" s="87"/>
      <c r="G533" s="204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155"/>
      <c r="S533" s="156"/>
      <c r="T533" s="157"/>
      <c r="U533" s="173"/>
      <c r="V533" s="157"/>
      <c r="W533" s="157"/>
      <c r="X533" s="87"/>
      <c r="Y533" s="87"/>
      <c r="Z533" s="87"/>
      <c r="AA533" s="87"/>
    </row>
    <row r="534" ht="12" customHeight="1" spans="1:27">
      <c r="A534" s="87"/>
      <c r="B534" s="87"/>
      <c r="C534" s="87"/>
      <c r="D534" s="87"/>
      <c r="E534" s="203"/>
      <c r="F534" s="87"/>
      <c r="G534" s="204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155"/>
      <c r="S534" s="156"/>
      <c r="T534" s="157"/>
      <c r="U534" s="173"/>
      <c r="V534" s="157"/>
      <c r="W534" s="157"/>
      <c r="X534" s="87"/>
      <c r="Y534" s="87"/>
      <c r="Z534" s="87"/>
      <c r="AA534" s="87"/>
    </row>
    <row r="535" ht="12" customHeight="1" spans="1:27">
      <c r="A535" s="87"/>
      <c r="B535" s="87"/>
      <c r="C535" s="87"/>
      <c r="D535" s="87"/>
      <c r="E535" s="203"/>
      <c r="F535" s="87"/>
      <c r="G535" s="204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155"/>
      <c r="S535" s="156"/>
      <c r="T535" s="157"/>
      <c r="U535" s="173"/>
      <c r="V535" s="157"/>
      <c r="W535" s="157"/>
      <c r="X535" s="87"/>
      <c r="Y535" s="87"/>
      <c r="Z535" s="87"/>
      <c r="AA535" s="87"/>
    </row>
    <row r="536" ht="12" customHeight="1" spans="1:27">
      <c r="A536" s="87"/>
      <c r="B536" s="87"/>
      <c r="C536" s="87"/>
      <c r="D536" s="87"/>
      <c r="E536" s="203"/>
      <c r="F536" s="87"/>
      <c r="G536" s="204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155"/>
      <c r="S536" s="156"/>
      <c r="T536" s="157"/>
      <c r="U536" s="173"/>
      <c r="V536" s="157"/>
      <c r="W536" s="157"/>
      <c r="X536" s="87"/>
      <c r="Y536" s="87"/>
      <c r="Z536" s="87"/>
      <c r="AA536" s="87"/>
    </row>
    <row r="537" ht="12" customHeight="1" spans="1:27">
      <c r="A537" s="87"/>
      <c r="B537" s="87"/>
      <c r="C537" s="87"/>
      <c r="D537" s="87"/>
      <c r="E537" s="203"/>
      <c r="F537" s="87"/>
      <c r="G537" s="204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155"/>
      <c r="S537" s="156"/>
      <c r="T537" s="157"/>
      <c r="U537" s="173"/>
      <c r="V537" s="157"/>
      <c r="W537" s="157"/>
      <c r="X537" s="87"/>
      <c r="Y537" s="87"/>
      <c r="Z537" s="87"/>
      <c r="AA537" s="87"/>
    </row>
    <row r="538" ht="12" customHeight="1" spans="1:27">
      <c r="A538" s="87"/>
      <c r="B538" s="87"/>
      <c r="C538" s="87"/>
      <c r="D538" s="87"/>
      <c r="E538" s="203"/>
      <c r="F538" s="87"/>
      <c r="G538" s="204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155"/>
      <c r="S538" s="156"/>
      <c r="T538" s="157"/>
      <c r="U538" s="173"/>
      <c r="V538" s="157"/>
      <c r="W538" s="157"/>
      <c r="X538" s="87"/>
      <c r="Y538" s="87"/>
      <c r="Z538" s="87"/>
      <c r="AA538" s="87"/>
    </row>
    <row r="539" ht="12" customHeight="1" spans="1:27">
      <c r="A539" s="87"/>
      <c r="B539" s="87"/>
      <c r="C539" s="87"/>
      <c r="D539" s="87"/>
      <c r="E539" s="203"/>
      <c r="F539" s="87"/>
      <c r="G539" s="204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155"/>
      <c r="S539" s="156"/>
      <c r="T539" s="157"/>
      <c r="U539" s="173"/>
      <c r="V539" s="157"/>
      <c r="W539" s="157"/>
      <c r="X539" s="87"/>
      <c r="Y539" s="87"/>
      <c r="Z539" s="87"/>
      <c r="AA539" s="87"/>
    </row>
    <row r="540" ht="12" customHeight="1" spans="1:27">
      <c r="A540" s="87"/>
      <c r="B540" s="87"/>
      <c r="C540" s="87"/>
      <c r="D540" s="87"/>
      <c r="E540" s="203"/>
      <c r="F540" s="87"/>
      <c r="G540" s="204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155"/>
      <c r="S540" s="156"/>
      <c r="T540" s="157"/>
      <c r="U540" s="173"/>
      <c r="V540" s="157"/>
      <c r="W540" s="157"/>
      <c r="X540" s="87"/>
      <c r="Y540" s="87"/>
      <c r="Z540" s="87"/>
      <c r="AA540" s="87"/>
    </row>
    <row r="541" ht="12" customHeight="1" spans="1:27">
      <c r="A541" s="87"/>
      <c r="B541" s="87"/>
      <c r="C541" s="87"/>
      <c r="D541" s="87"/>
      <c r="E541" s="203"/>
      <c r="F541" s="87"/>
      <c r="G541" s="204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155"/>
      <c r="S541" s="156"/>
      <c r="T541" s="157"/>
      <c r="U541" s="173"/>
      <c r="V541" s="157"/>
      <c r="W541" s="157"/>
      <c r="X541" s="87"/>
      <c r="Y541" s="87"/>
      <c r="Z541" s="87"/>
      <c r="AA541" s="87"/>
    </row>
    <row r="542" ht="12" customHeight="1" spans="1:27">
      <c r="A542" s="87"/>
      <c r="B542" s="87"/>
      <c r="C542" s="87"/>
      <c r="D542" s="87"/>
      <c r="E542" s="203"/>
      <c r="F542" s="87"/>
      <c r="G542" s="204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155"/>
      <c r="S542" s="156"/>
      <c r="T542" s="157"/>
      <c r="U542" s="173"/>
      <c r="V542" s="157"/>
      <c r="W542" s="157"/>
      <c r="X542" s="87"/>
      <c r="Y542" s="87"/>
      <c r="Z542" s="87"/>
      <c r="AA542" s="87"/>
    </row>
    <row r="543" ht="12" customHeight="1" spans="1:27">
      <c r="A543" s="87"/>
      <c r="B543" s="87"/>
      <c r="C543" s="87"/>
      <c r="D543" s="87"/>
      <c r="E543" s="203"/>
      <c r="F543" s="87"/>
      <c r="G543" s="204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155"/>
      <c r="S543" s="156"/>
      <c r="T543" s="157"/>
      <c r="U543" s="173"/>
      <c r="V543" s="157"/>
      <c r="W543" s="157"/>
      <c r="X543" s="87"/>
      <c r="Y543" s="87"/>
      <c r="Z543" s="87"/>
      <c r="AA543" s="87"/>
    </row>
    <row r="544" ht="12" customHeight="1" spans="1:27">
      <c r="A544" s="87"/>
      <c r="B544" s="87"/>
      <c r="C544" s="87"/>
      <c r="D544" s="87"/>
      <c r="E544" s="203"/>
      <c r="F544" s="87"/>
      <c r="G544" s="204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155"/>
      <c r="S544" s="156"/>
      <c r="T544" s="157"/>
      <c r="U544" s="173"/>
      <c r="V544" s="157"/>
      <c r="W544" s="157"/>
      <c r="X544" s="87"/>
      <c r="Y544" s="87"/>
      <c r="Z544" s="87"/>
      <c r="AA544" s="87"/>
    </row>
    <row r="545" ht="12" customHeight="1" spans="1:27">
      <c r="A545" s="87"/>
      <c r="B545" s="87"/>
      <c r="C545" s="87"/>
      <c r="D545" s="87"/>
      <c r="E545" s="203"/>
      <c r="F545" s="87"/>
      <c r="G545" s="204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155"/>
      <c r="S545" s="156"/>
      <c r="T545" s="157"/>
      <c r="U545" s="173"/>
      <c r="V545" s="157"/>
      <c r="W545" s="157"/>
      <c r="X545" s="87"/>
      <c r="Y545" s="87"/>
      <c r="Z545" s="87"/>
      <c r="AA545" s="87"/>
    </row>
    <row r="546" ht="12" customHeight="1" spans="1:27">
      <c r="A546" s="87"/>
      <c r="B546" s="87"/>
      <c r="C546" s="87"/>
      <c r="D546" s="87"/>
      <c r="E546" s="203"/>
      <c r="F546" s="87"/>
      <c r="G546" s="204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155"/>
      <c r="S546" s="156"/>
      <c r="T546" s="157"/>
      <c r="U546" s="173"/>
      <c r="V546" s="157"/>
      <c r="W546" s="157"/>
      <c r="X546" s="87"/>
      <c r="Y546" s="87"/>
      <c r="Z546" s="87"/>
      <c r="AA546" s="87"/>
    </row>
    <row r="547" ht="12" customHeight="1" spans="1:27">
      <c r="A547" s="87"/>
      <c r="B547" s="87"/>
      <c r="C547" s="87"/>
      <c r="D547" s="87"/>
      <c r="E547" s="203"/>
      <c r="F547" s="87"/>
      <c r="G547" s="204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155"/>
      <c r="S547" s="156"/>
      <c r="T547" s="157"/>
      <c r="U547" s="173"/>
      <c r="V547" s="157"/>
      <c r="W547" s="157"/>
      <c r="X547" s="87"/>
      <c r="Y547" s="87"/>
      <c r="Z547" s="87"/>
      <c r="AA547" s="87"/>
    </row>
    <row r="548" ht="12" customHeight="1" spans="1:27">
      <c r="A548" s="87"/>
      <c r="B548" s="87"/>
      <c r="C548" s="87"/>
      <c r="D548" s="87"/>
      <c r="E548" s="203"/>
      <c r="F548" s="87"/>
      <c r="G548" s="204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155"/>
      <c r="S548" s="156"/>
      <c r="T548" s="157"/>
      <c r="U548" s="173"/>
      <c r="V548" s="157"/>
      <c r="W548" s="157"/>
      <c r="X548" s="87"/>
      <c r="Y548" s="87"/>
      <c r="Z548" s="87"/>
      <c r="AA548" s="87"/>
    </row>
    <row r="549" ht="12" customHeight="1" spans="1:27">
      <c r="A549" s="87"/>
      <c r="B549" s="87"/>
      <c r="C549" s="87"/>
      <c r="D549" s="87"/>
      <c r="E549" s="203"/>
      <c r="F549" s="87"/>
      <c r="G549" s="204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155"/>
      <c r="S549" s="156"/>
      <c r="T549" s="157"/>
      <c r="U549" s="173"/>
      <c r="V549" s="157"/>
      <c r="W549" s="157"/>
      <c r="X549" s="87"/>
      <c r="Y549" s="87"/>
      <c r="Z549" s="87"/>
      <c r="AA549" s="87"/>
    </row>
    <row r="550" ht="12" customHeight="1" spans="1:27">
      <c r="A550" s="87"/>
      <c r="B550" s="87"/>
      <c r="C550" s="87"/>
      <c r="D550" s="87"/>
      <c r="E550" s="203"/>
      <c r="F550" s="87"/>
      <c r="G550" s="204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155"/>
      <c r="S550" s="156"/>
      <c r="T550" s="157"/>
      <c r="U550" s="173"/>
      <c r="V550" s="157"/>
      <c r="W550" s="157"/>
      <c r="X550" s="87"/>
      <c r="Y550" s="87"/>
      <c r="Z550" s="87"/>
      <c r="AA550" s="87"/>
    </row>
    <row r="551" ht="12" customHeight="1" spans="1:27">
      <c r="A551" s="87"/>
      <c r="B551" s="87"/>
      <c r="C551" s="87"/>
      <c r="D551" s="87"/>
      <c r="E551" s="203"/>
      <c r="F551" s="87"/>
      <c r="G551" s="204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155"/>
      <c r="S551" s="156"/>
      <c r="T551" s="157"/>
      <c r="U551" s="173"/>
      <c r="V551" s="157"/>
      <c r="W551" s="157"/>
      <c r="X551" s="87"/>
      <c r="Y551" s="87"/>
      <c r="Z551" s="87"/>
      <c r="AA551" s="87"/>
    </row>
    <row r="552" ht="12" customHeight="1" spans="1:27">
      <c r="A552" s="87"/>
      <c r="B552" s="87"/>
      <c r="C552" s="87"/>
      <c r="D552" s="87"/>
      <c r="E552" s="203"/>
      <c r="F552" s="87"/>
      <c r="G552" s="204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155"/>
      <c r="S552" s="156"/>
      <c r="T552" s="157"/>
      <c r="U552" s="173"/>
      <c r="V552" s="157"/>
      <c r="W552" s="157"/>
      <c r="X552" s="87"/>
      <c r="Y552" s="87"/>
      <c r="Z552" s="87"/>
      <c r="AA552" s="87"/>
    </row>
    <row r="553" ht="12" customHeight="1" spans="1:27">
      <c r="A553" s="87"/>
      <c r="B553" s="87"/>
      <c r="C553" s="87"/>
      <c r="D553" s="87"/>
      <c r="E553" s="203"/>
      <c r="F553" s="87"/>
      <c r="G553" s="204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155"/>
      <c r="S553" s="156"/>
      <c r="T553" s="157"/>
      <c r="U553" s="173"/>
      <c r="V553" s="157"/>
      <c r="W553" s="157"/>
      <c r="X553" s="87"/>
      <c r="Y553" s="87"/>
      <c r="Z553" s="87"/>
      <c r="AA553" s="87"/>
    </row>
    <row r="554" ht="12" customHeight="1" spans="1:27">
      <c r="A554" s="87"/>
      <c r="B554" s="87"/>
      <c r="C554" s="87"/>
      <c r="D554" s="87"/>
      <c r="E554" s="203"/>
      <c r="F554" s="87"/>
      <c r="G554" s="204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155"/>
      <c r="S554" s="156"/>
      <c r="T554" s="157"/>
      <c r="U554" s="173"/>
      <c r="V554" s="157"/>
      <c r="W554" s="157"/>
      <c r="X554" s="87"/>
      <c r="Y554" s="87"/>
      <c r="Z554" s="87"/>
      <c r="AA554" s="87"/>
    </row>
    <row r="555" ht="12" customHeight="1" spans="1:27">
      <c r="A555" s="87"/>
      <c r="B555" s="87"/>
      <c r="C555" s="87"/>
      <c r="D555" s="87"/>
      <c r="E555" s="203"/>
      <c r="F555" s="87"/>
      <c r="G555" s="204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155"/>
      <c r="S555" s="156"/>
      <c r="T555" s="157"/>
      <c r="U555" s="173"/>
      <c r="V555" s="157"/>
      <c r="W555" s="157"/>
      <c r="X555" s="87"/>
      <c r="Y555" s="87"/>
      <c r="Z555" s="87"/>
      <c r="AA555" s="87"/>
    </row>
    <row r="556" ht="12" customHeight="1" spans="1:27">
      <c r="A556" s="87"/>
      <c r="B556" s="87"/>
      <c r="C556" s="87"/>
      <c r="D556" s="87"/>
      <c r="E556" s="203"/>
      <c r="F556" s="87"/>
      <c r="G556" s="204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155"/>
      <c r="S556" s="156"/>
      <c r="T556" s="157"/>
      <c r="U556" s="173"/>
      <c r="V556" s="157"/>
      <c r="W556" s="157"/>
      <c r="X556" s="87"/>
      <c r="Y556" s="87"/>
      <c r="Z556" s="87"/>
      <c r="AA556" s="87"/>
    </row>
    <row r="557" ht="12" customHeight="1" spans="1:27">
      <c r="A557" s="87"/>
      <c r="B557" s="87"/>
      <c r="C557" s="87"/>
      <c r="D557" s="87"/>
      <c r="E557" s="203"/>
      <c r="F557" s="87"/>
      <c r="G557" s="204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155"/>
      <c r="S557" s="156"/>
      <c r="T557" s="157"/>
      <c r="U557" s="173"/>
      <c r="V557" s="157"/>
      <c r="W557" s="157"/>
      <c r="X557" s="87"/>
      <c r="Y557" s="87"/>
      <c r="Z557" s="87"/>
      <c r="AA557" s="87"/>
    </row>
    <row r="558" ht="12" customHeight="1" spans="1:27">
      <c r="A558" s="87"/>
      <c r="B558" s="87"/>
      <c r="C558" s="87"/>
      <c r="D558" s="87"/>
      <c r="E558" s="203"/>
      <c r="F558" s="87"/>
      <c r="G558" s="204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155"/>
      <c r="S558" s="156"/>
      <c r="T558" s="157"/>
      <c r="U558" s="173"/>
      <c r="V558" s="157"/>
      <c r="W558" s="157"/>
      <c r="X558" s="87"/>
      <c r="Y558" s="87"/>
      <c r="Z558" s="87"/>
      <c r="AA558" s="87"/>
    </row>
    <row r="559" ht="12" customHeight="1" spans="1:27">
      <c r="A559" s="87"/>
      <c r="B559" s="87"/>
      <c r="C559" s="87"/>
      <c r="D559" s="87"/>
      <c r="E559" s="203"/>
      <c r="F559" s="87"/>
      <c r="G559" s="204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155"/>
      <c r="S559" s="156"/>
      <c r="T559" s="157"/>
      <c r="U559" s="173"/>
      <c r="V559" s="157"/>
      <c r="W559" s="157"/>
      <c r="X559" s="87"/>
      <c r="Y559" s="87"/>
      <c r="Z559" s="87"/>
      <c r="AA559" s="87"/>
    </row>
    <row r="560" ht="12" customHeight="1" spans="1:27">
      <c r="A560" s="87"/>
      <c r="B560" s="87"/>
      <c r="C560" s="87"/>
      <c r="D560" s="87"/>
      <c r="E560" s="203"/>
      <c r="F560" s="87"/>
      <c r="G560" s="204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155"/>
      <c r="S560" s="156"/>
      <c r="T560" s="157"/>
      <c r="U560" s="173"/>
      <c r="V560" s="157"/>
      <c r="W560" s="157"/>
      <c r="X560" s="87"/>
      <c r="Y560" s="87"/>
      <c r="Z560" s="87"/>
      <c r="AA560" s="87"/>
    </row>
    <row r="561" ht="12" customHeight="1" spans="1:27">
      <c r="A561" s="87"/>
      <c r="B561" s="87"/>
      <c r="C561" s="87"/>
      <c r="D561" s="87"/>
      <c r="E561" s="203"/>
      <c r="F561" s="87"/>
      <c r="G561" s="204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155"/>
      <c r="S561" s="156"/>
      <c r="T561" s="157"/>
      <c r="U561" s="173"/>
      <c r="V561" s="157"/>
      <c r="W561" s="157"/>
      <c r="X561" s="87"/>
      <c r="Y561" s="87"/>
      <c r="Z561" s="87"/>
      <c r="AA561" s="87"/>
    </row>
    <row r="562" ht="12" customHeight="1" spans="1:27">
      <c r="A562" s="87"/>
      <c r="B562" s="87"/>
      <c r="C562" s="87"/>
      <c r="D562" s="87"/>
      <c r="E562" s="203"/>
      <c r="F562" s="87"/>
      <c r="G562" s="204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155"/>
      <c r="S562" s="156"/>
      <c r="T562" s="157"/>
      <c r="U562" s="173"/>
      <c r="V562" s="157"/>
      <c r="W562" s="157"/>
      <c r="X562" s="87"/>
      <c r="Y562" s="87"/>
      <c r="Z562" s="87"/>
      <c r="AA562" s="87"/>
    </row>
    <row r="563" ht="12" customHeight="1" spans="1:27">
      <c r="A563" s="87"/>
      <c r="B563" s="87"/>
      <c r="C563" s="87"/>
      <c r="D563" s="87"/>
      <c r="E563" s="203"/>
      <c r="F563" s="87"/>
      <c r="G563" s="204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155"/>
      <c r="S563" s="156"/>
      <c r="T563" s="157"/>
      <c r="U563" s="173"/>
      <c r="V563" s="157"/>
      <c r="W563" s="157"/>
      <c r="X563" s="87"/>
      <c r="Y563" s="87"/>
      <c r="Z563" s="87"/>
      <c r="AA563" s="87"/>
    </row>
    <row r="564" ht="12" customHeight="1" spans="1:27">
      <c r="A564" s="87"/>
      <c r="B564" s="87"/>
      <c r="C564" s="87"/>
      <c r="D564" s="87"/>
      <c r="E564" s="203"/>
      <c r="F564" s="87"/>
      <c r="G564" s="204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155"/>
      <c r="S564" s="156"/>
      <c r="T564" s="157"/>
      <c r="U564" s="173"/>
      <c r="V564" s="157"/>
      <c r="W564" s="157"/>
      <c r="X564" s="87"/>
      <c r="Y564" s="87"/>
      <c r="Z564" s="87"/>
      <c r="AA564" s="87"/>
    </row>
    <row r="565" ht="12" customHeight="1" spans="1:27">
      <c r="A565" s="87"/>
      <c r="B565" s="87"/>
      <c r="C565" s="87"/>
      <c r="D565" s="87"/>
      <c r="E565" s="203"/>
      <c r="F565" s="87"/>
      <c r="G565" s="204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155"/>
      <c r="S565" s="156"/>
      <c r="T565" s="157"/>
      <c r="U565" s="173"/>
      <c r="V565" s="157"/>
      <c r="W565" s="157"/>
      <c r="X565" s="87"/>
      <c r="Y565" s="87"/>
      <c r="Z565" s="87"/>
      <c r="AA565" s="87"/>
    </row>
    <row r="566" ht="12" customHeight="1" spans="1:27">
      <c r="A566" s="87"/>
      <c r="B566" s="87"/>
      <c r="C566" s="87"/>
      <c r="D566" s="87"/>
      <c r="E566" s="203"/>
      <c r="F566" s="87"/>
      <c r="G566" s="204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155"/>
      <c r="S566" s="156"/>
      <c r="T566" s="157"/>
      <c r="U566" s="173"/>
      <c r="V566" s="157"/>
      <c r="W566" s="157"/>
      <c r="X566" s="87"/>
      <c r="Y566" s="87"/>
      <c r="Z566" s="87"/>
      <c r="AA566" s="87"/>
    </row>
    <row r="567" ht="12" customHeight="1" spans="1:27">
      <c r="A567" s="87"/>
      <c r="B567" s="87"/>
      <c r="C567" s="87"/>
      <c r="D567" s="87"/>
      <c r="E567" s="203"/>
      <c r="F567" s="87"/>
      <c r="G567" s="204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155"/>
      <c r="S567" s="156"/>
      <c r="T567" s="157"/>
      <c r="U567" s="173"/>
      <c r="V567" s="157"/>
      <c r="W567" s="157"/>
      <c r="X567" s="87"/>
      <c r="Y567" s="87"/>
      <c r="Z567" s="87"/>
      <c r="AA567" s="87"/>
    </row>
    <row r="568" ht="12" customHeight="1" spans="1:27">
      <c r="A568" s="87"/>
      <c r="B568" s="87"/>
      <c r="C568" s="87"/>
      <c r="D568" s="87"/>
      <c r="E568" s="203"/>
      <c r="F568" s="87"/>
      <c r="G568" s="204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155"/>
      <c r="S568" s="156"/>
      <c r="T568" s="157"/>
      <c r="U568" s="173"/>
      <c r="V568" s="157"/>
      <c r="W568" s="157"/>
      <c r="X568" s="87"/>
      <c r="Y568" s="87"/>
      <c r="Z568" s="87"/>
      <c r="AA568" s="87"/>
    </row>
    <row r="569" ht="12" customHeight="1" spans="1:27">
      <c r="A569" s="87"/>
      <c r="B569" s="87"/>
      <c r="C569" s="87"/>
      <c r="D569" s="87"/>
      <c r="E569" s="203"/>
      <c r="F569" s="87"/>
      <c r="G569" s="204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155"/>
      <c r="S569" s="156"/>
      <c r="T569" s="157"/>
      <c r="U569" s="173"/>
      <c r="V569" s="157"/>
      <c r="W569" s="157"/>
      <c r="X569" s="87"/>
      <c r="Y569" s="87"/>
      <c r="Z569" s="87"/>
      <c r="AA569" s="87"/>
    </row>
    <row r="570" ht="12" customHeight="1" spans="1:27">
      <c r="A570" s="87"/>
      <c r="B570" s="87"/>
      <c r="C570" s="87"/>
      <c r="D570" s="87"/>
      <c r="E570" s="203"/>
      <c r="F570" s="87"/>
      <c r="G570" s="204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155"/>
      <c r="S570" s="156"/>
      <c r="T570" s="157"/>
      <c r="U570" s="173"/>
      <c r="V570" s="157"/>
      <c r="W570" s="157"/>
      <c r="X570" s="87"/>
      <c r="Y570" s="87"/>
      <c r="Z570" s="87"/>
      <c r="AA570" s="87"/>
    </row>
    <row r="571" ht="12" customHeight="1" spans="1:27">
      <c r="A571" s="87"/>
      <c r="B571" s="87"/>
      <c r="C571" s="87"/>
      <c r="D571" s="87"/>
      <c r="E571" s="203"/>
      <c r="F571" s="87"/>
      <c r="G571" s="204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155"/>
      <c r="S571" s="156"/>
      <c r="T571" s="157"/>
      <c r="U571" s="173"/>
      <c r="V571" s="157"/>
      <c r="W571" s="157"/>
      <c r="X571" s="87"/>
      <c r="Y571" s="87"/>
      <c r="Z571" s="87"/>
      <c r="AA571" s="87"/>
    </row>
    <row r="572" ht="12" customHeight="1" spans="1:27">
      <c r="A572" s="87"/>
      <c r="B572" s="87"/>
      <c r="C572" s="87"/>
      <c r="D572" s="87"/>
      <c r="E572" s="203"/>
      <c r="F572" s="87"/>
      <c r="G572" s="204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155"/>
      <c r="S572" s="156"/>
      <c r="T572" s="157"/>
      <c r="U572" s="173"/>
      <c r="V572" s="157"/>
      <c r="W572" s="157"/>
      <c r="X572" s="87"/>
      <c r="Y572" s="87"/>
      <c r="Z572" s="87"/>
      <c r="AA572" s="87"/>
    </row>
    <row r="573" ht="12" customHeight="1" spans="1:27">
      <c r="A573" s="87"/>
      <c r="B573" s="87"/>
      <c r="C573" s="87"/>
      <c r="D573" s="87"/>
      <c r="E573" s="203"/>
      <c r="F573" s="87"/>
      <c r="G573" s="204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155"/>
      <c r="S573" s="156"/>
      <c r="T573" s="157"/>
      <c r="U573" s="173"/>
      <c r="V573" s="157"/>
      <c r="W573" s="157"/>
      <c r="X573" s="87"/>
      <c r="Y573" s="87"/>
      <c r="Z573" s="87"/>
      <c r="AA573" s="87"/>
    </row>
    <row r="574" ht="12" customHeight="1" spans="1:27">
      <c r="A574" s="87"/>
      <c r="B574" s="87"/>
      <c r="C574" s="87"/>
      <c r="D574" s="87"/>
      <c r="E574" s="203"/>
      <c r="F574" s="87"/>
      <c r="G574" s="204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155"/>
      <c r="S574" s="156"/>
      <c r="T574" s="157"/>
      <c r="U574" s="173"/>
      <c r="V574" s="157"/>
      <c r="W574" s="157"/>
      <c r="X574" s="87"/>
      <c r="Y574" s="87"/>
      <c r="Z574" s="87"/>
      <c r="AA574" s="87"/>
    </row>
    <row r="575" ht="12" customHeight="1" spans="1:27">
      <c r="A575" s="87"/>
      <c r="B575" s="87"/>
      <c r="C575" s="87"/>
      <c r="D575" s="87"/>
      <c r="E575" s="203"/>
      <c r="F575" s="87"/>
      <c r="G575" s="204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155"/>
      <c r="S575" s="156"/>
      <c r="T575" s="157"/>
      <c r="U575" s="173"/>
      <c r="V575" s="157"/>
      <c r="W575" s="157"/>
      <c r="X575" s="87"/>
      <c r="Y575" s="87"/>
      <c r="Z575" s="87"/>
      <c r="AA575" s="87"/>
    </row>
    <row r="576" ht="12" customHeight="1" spans="1:27">
      <c r="A576" s="87"/>
      <c r="B576" s="87"/>
      <c r="C576" s="87"/>
      <c r="D576" s="87"/>
      <c r="E576" s="203"/>
      <c r="F576" s="87"/>
      <c r="G576" s="204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155"/>
      <c r="S576" s="156"/>
      <c r="T576" s="157"/>
      <c r="U576" s="173"/>
      <c r="V576" s="157"/>
      <c r="W576" s="157"/>
      <c r="X576" s="87"/>
      <c r="Y576" s="87"/>
      <c r="Z576" s="87"/>
      <c r="AA576" s="87"/>
    </row>
    <row r="577" ht="12" customHeight="1" spans="1:27">
      <c r="A577" s="87"/>
      <c r="B577" s="87"/>
      <c r="C577" s="87"/>
      <c r="D577" s="87"/>
      <c r="E577" s="203"/>
      <c r="F577" s="87"/>
      <c r="G577" s="204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155"/>
      <c r="S577" s="156"/>
      <c r="T577" s="157"/>
      <c r="U577" s="173"/>
      <c r="V577" s="157"/>
      <c r="W577" s="157"/>
      <c r="X577" s="87"/>
      <c r="Y577" s="87"/>
      <c r="Z577" s="87"/>
      <c r="AA577" s="87"/>
    </row>
    <row r="578" ht="12" customHeight="1" spans="1:27">
      <c r="A578" s="87"/>
      <c r="B578" s="87"/>
      <c r="C578" s="87"/>
      <c r="D578" s="87"/>
      <c r="E578" s="203"/>
      <c r="F578" s="87"/>
      <c r="G578" s="204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155"/>
      <c r="S578" s="156"/>
      <c r="T578" s="157"/>
      <c r="U578" s="173"/>
      <c r="V578" s="157"/>
      <c r="W578" s="157"/>
      <c r="X578" s="87"/>
      <c r="Y578" s="87"/>
      <c r="Z578" s="87"/>
      <c r="AA578" s="87"/>
    </row>
    <row r="579" ht="12" customHeight="1" spans="1:27">
      <c r="A579" s="87"/>
      <c r="B579" s="87"/>
      <c r="C579" s="87"/>
      <c r="D579" s="87"/>
      <c r="E579" s="203"/>
      <c r="F579" s="87"/>
      <c r="G579" s="204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155"/>
      <c r="S579" s="156"/>
      <c r="T579" s="157"/>
      <c r="U579" s="173"/>
      <c r="V579" s="157"/>
      <c r="W579" s="157"/>
      <c r="X579" s="87"/>
      <c r="Y579" s="87"/>
      <c r="Z579" s="87"/>
      <c r="AA579" s="87"/>
    </row>
    <row r="580" ht="12" customHeight="1" spans="1:27">
      <c r="A580" s="87"/>
      <c r="B580" s="87"/>
      <c r="C580" s="87"/>
      <c r="D580" s="87"/>
      <c r="E580" s="203"/>
      <c r="F580" s="87"/>
      <c r="G580" s="204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155"/>
      <c r="S580" s="156"/>
      <c r="T580" s="157"/>
      <c r="U580" s="173"/>
      <c r="V580" s="157"/>
      <c r="W580" s="157"/>
      <c r="X580" s="87"/>
      <c r="Y580" s="87"/>
      <c r="Z580" s="87"/>
      <c r="AA580" s="87"/>
    </row>
    <row r="581" ht="12" customHeight="1" spans="1:27">
      <c r="A581" s="87"/>
      <c r="B581" s="87"/>
      <c r="C581" s="87"/>
      <c r="D581" s="87"/>
      <c r="E581" s="203"/>
      <c r="F581" s="87"/>
      <c r="G581" s="204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155"/>
      <c r="S581" s="156"/>
      <c r="T581" s="157"/>
      <c r="U581" s="173"/>
      <c r="V581" s="157"/>
      <c r="W581" s="157"/>
      <c r="X581" s="87"/>
      <c r="Y581" s="87"/>
      <c r="Z581" s="87"/>
      <c r="AA581" s="87"/>
    </row>
    <row r="582" ht="12" customHeight="1" spans="1:27">
      <c r="A582" s="87"/>
      <c r="B582" s="87"/>
      <c r="C582" s="87"/>
      <c r="D582" s="87"/>
      <c r="E582" s="203"/>
      <c r="F582" s="87"/>
      <c r="G582" s="204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155"/>
      <c r="S582" s="156"/>
      <c r="T582" s="157"/>
      <c r="U582" s="173"/>
      <c r="V582" s="157"/>
      <c r="W582" s="157"/>
      <c r="X582" s="87"/>
      <c r="Y582" s="87"/>
      <c r="Z582" s="87"/>
      <c r="AA582" s="87"/>
    </row>
    <row r="583" ht="12" customHeight="1" spans="1:27">
      <c r="A583" s="87"/>
      <c r="B583" s="87"/>
      <c r="C583" s="87"/>
      <c r="D583" s="87"/>
      <c r="E583" s="203"/>
      <c r="F583" s="87"/>
      <c r="G583" s="204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155"/>
      <c r="S583" s="156"/>
      <c r="T583" s="157"/>
      <c r="U583" s="173"/>
      <c r="V583" s="157"/>
      <c r="W583" s="157"/>
      <c r="X583" s="87"/>
      <c r="Y583" s="87"/>
      <c r="Z583" s="87"/>
      <c r="AA583" s="87"/>
    </row>
    <row r="584" ht="12" customHeight="1" spans="1:27">
      <c r="A584" s="87"/>
      <c r="B584" s="87"/>
      <c r="C584" s="87"/>
      <c r="D584" s="87"/>
      <c r="E584" s="203"/>
      <c r="F584" s="87"/>
      <c r="G584" s="204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155"/>
      <c r="S584" s="156"/>
      <c r="T584" s="157"/>
      <c r="U584" s="173"/>
      <c r="V584" s="157"/>
      <c r="W584" s="157"/>
      <c r="X584" s="87"/>
      <c r="Y584" s="87"/>
      <c r="Z584" s="87"/>
      <c r="AA584" s="87"/>
    </row>
    <row r="585" ht="12" customHeight="1" spans="1:27">
      <c r="A585" s="87"/>
      <c r="B585" s="87"/>
      <c r="C585" s="87"/>
      <c r="D585" s="87"/>
      <c r="E585" s="203"/>
      <c r="F585" s="87"/>
      <c r="G585" s="204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155"/>
      <c r="S585" s="156"/>
      <c r="T585" s="157"/>
      <c r="U585" s="173"/>
      <c r="V585" s="157"/>
      <c r="W585" s="157"/>
      <c r="X585" s="87"/>
      <c r="Y585" s="87"/>
      <c r="Z585" s="87"/>
      <c r="AA585" s="87"/>
    </row>
    <row r="586" ht="12" customHeight="1" spans="1:27">
      <c r="A586" s="87"/>
      <c r="B586" s="87"/>
      <c r="C586" s="87"/>
      <c r="D586" s="87"/>
      <c r="E586" s="203"/>
      <c r="F586" s="87"/>
      <c r="G586" s="204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155"/>
      <c r="S586" s="156"/>
      <c r="T586" s="157"/>
      <c r="U586" s="173"/>
      <c r="V586" s="157"/>
      <c r="W586" s="157"/>
      <c r="X586" s="87"/>
      <c r="Y586" s="87"/>
      <c r="Z586" s="87"/>
      <c r="AA586" s="87"/>
    </row>
    <row r="587" ht="12" customHeight="1" spans="1:27">
      <c r="A587" s="87"/>
      <c r="B587" s="87"/>
      <c r="C587" s="87"/>
      <c r="D587" s="87"/>
      <c r="E587" s="203"/>
      <c r="F587" s="87"/>
      <c r="G587" s="204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155"/>
      <c r="S587" s="156"/>
      <c r="T587" s="157"/>
      <c r="U587" s="173"/>
      <c r="V587" s="157"/>
      <c r="W587" s="157"/>
      <c r="X587" s="87"/>
      <c r="Y587" s="87"/>
      <c r="Z587" s="87"/>
      <c r="AA587" s="87"/>
    </row>
    <row r="588" ht="12" customHeight="1" spans="1:27">
      <c r="A588" s="87"/>
      <c r="B588" s="87"/>
      <c r="C588" s="87"/>
      <c r="D588" s="87"/>
      <c r="E588" s="203"/>
      <c r="F588" s="87"/>
      <c r="G588" s="204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155"/>
      <c r="S588" s="156"/>
      <c r="T588" s="157"/>
      <c r="U588" s="173"/>
      <c r="V588" s="157"/>
      <c r="W588" s="157"/>
      <c r="X588" s="87"/>
      <c r="Y588" s="87"/>
      <c r="Z588" s="87"/>
      <c r="AA588" s="87"/>
    </row>
    <row r="589" ht="12" customHeight="1" spans="1:27">
      <c r="A589" s="87"/>
      <c r="B589" s="87"/>
      <c r="C589" s="87"/>
      <c r="D589" s="87"/>
      <c r="E589" s="203"/>
      <c r="F589" s="87"/>
      <c r="G589" s="204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155"/>
      <c r="S589" s="156"/>
      <c r="T589" s="157"/>
      <c r="U589" s="173"/>
      <c r="V589" s="157"/>
      <c r="W589" s="157"/>
      <c r="X589" s="87"/>
      <c r="Y589" s="87"/>
      <c r="Z589" s="87"/>
      <c r="AA589" s="87"/>
    </row>
    <row r="590" ht="12" customHeight="1" spans="1:27">
      <c r="A590" s="87"/>
      <c r="B590" s="87"/>
      <c r="C590" s="87"/>
      <c r="D590" s="87"/>
      <c r="E590" s="203"/>
      <c r="F590" s="87"/>
      <c r="G590" s="204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155"/>
      <c r="S590" s="156"/>
      <c r="T590" s="157"/>
      <c r="U590" s="173"/>
      <c r="V590" s="157"/>
      <c r="W590" s="157"/>
      <c r="X590" s="87"/>
      <c r="Y590" s="87"/>
      <c r="Z590" s="87"/>
      <c r="AA590" s="87"/>
    </row>
    <row r="591" ht="12" customHeight="1" spans="1:27">
      <c r="A591" s="87"/>
      <c r="B591" s="87"/>
      <c r="C591" s="87"/>
      <c r="D591" s="87"/>
      <c r="E591" s="203"/>
      <c r="F591" s="87"/>
      <c r="G591" s="204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155"/>
      <c r="S591" s="156"/>
      <c r="T591" s="157"/>
      <c r="U591" s="173"/>
      <c r="V591" s="157"/>
      <c r="W591" s="157"/>
      <c r="X591" s="87"/>
      <c r="Y591" s="87"/>
      <c r="Z591" s="87"/>
      <c r="AA591" s="87"/>
    </row>
    <row r="592" ht="12" customHeight="1" spans="1:27">
      <c r="A592" s="87"/>
      <c r="B592" s="87"/>
      <c r="C592" s="87"/>
      <c r="D592" s="87"/>
      <c r="E592" s="203"/>
      <c r="F592" s="87"/>
      <c r="G592" s="204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155"/>
      <c r="S592" s="156"/>
      <c r="T592" s="157"/>
      <c r="U592" s="173"/>
      <c r="V592" s="157"/>
      <c r="W592" s="157"/>
      <c r="X592" s="87"/>
      <c r="Y592" s="87"/>
      <c r="Z592" s="87"/>
      <c r="AA592" s="87"/>
    </row>
    <row r="593" ht="12" customHeight="1" spans="1:27">
      <c r="A593" s="87"/>
      <c r="B593" s="87"/>
      <c r="C593" s="87"/>
      <c r="D593" s="87"/>
      <c r="E593" s="203"/>
      <c r="F593" s="87"/>
      <c r="G593" s="204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155"/>
      <c r="S593" s="156"/>
      <c r="T593" s="157"/>
      <c r="U593" s="173"/>
      <c r="V593" s="157"/>
      <c r="W593" s="157"/>
      <c r="X593" s="87"/>
      <c r="Y593" s="87"/>
      <c r="Z593" s="87"/>
      <c r="AA593" s="87"/>
    </row>
    <row r="594" ht="12" customHeight="1" spans="1:27">
      <c r="A594" s="87"/>
      <c r="B594" s="87"/>
      <c r="C594" s="87"/>
      <c r="D594" s="87"/>
      <c r="E594" s="203"/>
      <c r="F594" s="87"/>
      <c r="G594" s="204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155"/>
      <c r="S594" s="156"/>
      <c r="T594" s="157"/>
      <c r="U594" s="173"/>
      <c r="V594" s="157"/>
      <c r="W594" s="157"/>
      <c r="X594" s="87"/>
      <c r="Y594" s="87"/>
      <c r="Z594" s="87"/>
      <c r="AA594" s="87"/>
    </row>
    <row r="595" ht="12" customHeight="1" spans="1:27">
      <c r="A595" s="87"/>
      <c r="B595" s="87"/>
      <c r="C595" s="87"/>
      <c r="D595" s="87"/>
      <c r="E595" s="203"/>
      <c r="F595" s="87"/>
      <c r="G595" s="204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155"/>
      <c r="S595" s="156"/>
      <c r="T595" s="157"/>
      <c r="U595" s="173"/>
      <c r="V595" s="157"/>
      <c r="W595" s="157"/>
      <c r="X595" s="87"/>
      <c r="Y595" s="87"/>
      <c r="Z595" s="87"/>
      <c r="AA595" s="87"/>
    </row>
    <row r="596" ht="12" customHeight="1" spans="1:27">
      <c r="A596" s="87"/>
      <c r="B596" s="87"/>
      <c r="C596" s="87"/>
      <c r="D596" s="87"/>
      <c r="E596" s="203"/>
      <c r="F596" s="87"/>
      <c r="G596" s="204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155"/>
      <c r="S596" s="156"/>
      <c r="T596" s="157"/>
      <c r="U596" s="173"/>
      <c r="V596" s="157"/>
      <c r="W596" s="157"/>
      <c r="X596" s="87"/>
      <c r="Y596" s="87"/>
      <c r="Z596" s="87"/>
      <c r="AA596" s="87"/>
    </row>
    <row r="597" ht="12" customHeight="1" spans="1:27">
      <c r="A597" s="87"/>
      <c r="B597" s="87"/>
      <c r="C597" s="87"/>
      <c r="D597" s="87"/>
      <c r="E597" s="203"/>
      <c r="F597" s="87"/>
      <c r="G597" s="204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155"/>
      <c r="S597" s="156"/>
      <c r="T597" s="157"/>
      <c r="U597" s="173"/>
      <c r="V597" s="157"/>
      <c r="W597" s="157"/>
      <c r="X597" s="87"/>
      <c r="Y597" s="87"/>
      <c r="Z597" s="87"/>
      <c r="AA597" s="87"/>
    </row>
    <row r="598" ht="12" customHeight="1" spans="1:27">
      <c r="A598" s="87"/>
      <c r="B598" s="87"/>
      <c r="C598" s="87"/>
      <c r="D598" s="87"/>
      <c r="E598" s="203"/>
      <c r="F598" s="87"/>
      <c r="G598" s="204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155"/>
      <c r="S598" s="156"/>
      <c r="T598" s="157"/>
      <c r="U598" s="173"/>
      <c r="V598" s="157"/>
      <c r="W598" s="157"/>
      <c r="X598" s="87"/>
      <c r="Y598" s="87"/>
      <c r="Z598" s="87"/>
      <c r="AA598" s="87"/>
    </row>
    <row r="599" ht="12" customHeight="1" spans="1:27">
      <c r="A599" s="87"/>
      <c r="B599" s="87"/>
      <c r="C599" s="87"/>
      <c r="D599" s="87"/>
      <c r="E599" s="203"/>
      <c r="F599" s="87"/>
      <c r="G599" s="204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155"/>
      <c r="S599" s="156"/>
      <c r="T599" s="157"/>
      <c r="U599" s="173"/>
      <c r="V599" s="157"/>
      <c r="W599" s="157"/>
      <c r="X599" s="87"/>
      <c r="Y599" s="87"/>
      <c r="Z599" s="87"/>
      <c r="AA599" s="87"/>
    </row>
    <row r="600" ht="12" customHeight="1" spans="1:27">
      <c r="A600" s="87"/>
      <c r="B600" s="87"/>
      <c r="C600" s="87"/>
      <c r="D600" s="87"/>
      <c r="E600" s="203"/>
      <c r="F600" s="87"/>
      <c r="G600" s="204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155"/>
      <c r="S600" s="156"/>
      <c r="T600" s="157"/>
      <c r="U600" s="173"/>
      <c r="V600" s="157"/>
      <c r="W600" s="157"/>
      <c r="X600" s="87"/>
      <c r="Y600" s="87"/>
      <c r="Z600" s="87"/>
      <c r="AA600" s="87"/>
    </row>
    <row r="601" ht="12" customHeight="1" spans="1:27">
      <c r="A601" s="87"/>
      <c r="B601" s="87"/>
      <c r="C601" s="87"/>
      <c r="D601" s="87"/>
      <c r="E601" s="203"/>
      <c r="F601" s="87"/>
      <c r="G601" s="204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155"/>
      <c r="S601" s="156"/>
      <c r="T601" s="157"/>
      <c r="U601" s="173"/>
      <c r="V601" s="157"/>
      <c r="W601" s="157"/>
      <c r="X601" s="87"/>
      <c r="Y601" s="87"/>
      <c r="Z601" s="87"/>
      <c r="AA601" s="87"/>
    </row>
    <row r="602" ht="12" customHeight="1" spans="1:27">
      <c r="A602" s="87"/>
      <c r="B602" s="87"/>
      <c r="C602" s="87"/>
      <c r="D602" s="87"/>
      <c r="E602" s="203"/>
      <c r="F602" s="87"/>
      <c r="G602" s="204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155"/>
      <c r="S602" s="156"/>
      <c r="T602" s="157"/>
      <c r="U602" s="173"/>
      <c r="V602" s="157"/>
      <c r="W602" s="157"/>
      <c r="X602" s="87"/>
      <c r="Y602" s="87"/>
      <c r="Z602" s="87"/>
      <c r="AA602" s="87"/>
    </row>
    <row r="603" ht="12" customHeight="1" spans="1:27">
      <c r="A603" s="87"/>
      <c r="B603" s="87"/>
      <c r="C603" s="87"/>
      <c r="D603" s="87"/>
      <c r="E603" s="203"/>
      <c r="F603" s="87"/>
      <c r="G603" s="204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155"/>
      <c r="S603" s="156"/>
      <c r="T603" s="157"/>
      <c r="U603" s="173"/>
      <c r="V603" s="157"/>
      <c r="W603" s="157"/>
      <c r="X603" s="87"/>
      <c r="Y603" s="87"/>
      <c r="Z603" s="87"/>
      <c r="AA603" s="87"/>
    </row>
    <row r="604" ht="12" customHeight="1" spans="1:27">
      <c r="A604" s="87"/>
      <c r="B604" s="87"/>
      <c r="C604" s="87"/>
      <c r="D604" s="87"/>
      <c r="E604" s="203"/>
      <c r="F604" s="87"/>
      <c r="G604" s="204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155"/>
      <c r="S604" s="156"/>
      <c r="T604" s="157"/>
      <c r="U604" s="173"/>
      <c r="V604" s="157"/>
      <c r="W604" s="157"/>
      <c r="X604" s="87"/>
      <c r="Y604" s="87"/>
      <c r="Z604" s="87"/>
      <c r="AA604" s="87"/>
    </row>
    <row r="605" ht="12" customHeight="1" spans="1:27">
      <c r="A605" s="87"/>
      <c r="B605" s="87"/>
      <c r="C605" s="87"/>
      <c r="D605" s="87"/>
      <c r="E605" s="203"/>
      <c r="F605" s="87"/>
      <c r="G605" s="204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155"/>
      <c r="S605" s="156"/>
      <c r="T605" s="157"/>
      <c r="U605" s="173"/>
      <c r="V605" s="157"/>
      <c r="W605" s="157"/>
      <c r="X605" s="87"/>
      <c r="Y605" s="87"/>
      <c r="Z605" s="87"/>
      <c r="AA605" s="87"/>
    </row>
    <row r="606" ht="12" customHeight="1" spans="1:27">
      <c r="A606" s="87"/>
      <c r="B606" s="87"/>
      <c r="C606" s="87"/>
      <c r="D606" s="87"/>
      <c r="E606" s="203"/>
      <c r="F606" s="87"/>
      <c r="G606" s="204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155"/>
      <c r="S606" s="156"/>
      <c r="T606" s="157"/>
      <c r="U606" s="173"/>
      <c r="V606" s="157"/>
      <c r="W606" s="157"/>
      <c r="X606" s="87"/>
      <c r="Y606" s="87"/>
      <c r="Z606" s="87"/>
      <c r="AA606" s="87"/>
    </row>
    <row r="607" ht="12" customHeight="1" spans="1:27">
      <c r="A607" s="87"/>
      <c r="B607" s="87"/>
      <c r="C607" s="87"/>
      <c r="D607" s="87"/>
      <c r="E607" s="203"/>
      <c r="F607" s="87"/>
      <c r="G607" s="204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155"/>
      <c r="S607" s="156"/>
      <c r="T607" s="157"/>
      <c r="U607" s="173"/>
      <c r="V607" s="157"/>
      <c r="W607" s="157"/>
      <c r="X607" s="87"/>
      <c r="Y607" s="87"/>
      <c r="Z607" s="87"/>
      <c r="AA607" s="87"/>
    </row>
    <row r="608" ht="12" customHeight="1" spans="1:27">
      <c r="A608" s="87"/>
      <c r="B608" s="87"/>
      <c r="C608" s="87"/>
      <c r="D608" s="87"/>
      <c r="E608" s="203"/>
      <c r="F608" s="87"/>
      <c r="G608" s="204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155"/>
      <c r="S608" s="156"/>
      <c r="T608" s="157"/>
      <c r="U608" s="173"/>
      <c r="V608" s="157"/>
      <c r="W608" s="157"/>
      <c r="X608" s="87"/>
      <c r="Y608" s="87"/>
      <c r="Z608" s="87"/>
      <c r="AA608" s="87"/>
    </row>
    <row r="609" ht="12" customHeight="1" spans="1:27">
      <c r="A609" s="87"/>
      <c r="B609" s="87"/>
      <c r="C609" s="87"/>
      <c r="D609" s="87"/>
      <c r="E609" s="203"/>
      <c r="F609" s="87"/>
      <c r="G609" s="204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155"/>
      <c r="S609" s="156"/>
      <c r="T609" s="157"/>
      <c r="U609" s="173"/>
      <c r="V609" s="157"/>
      <c r="W609" s="157"/>
      <c r="X609" s="87"/>
      <c r="Y609" s="87"/>
      <c r="Z609" s="87"/>
      <c r="AA609" s="87"/>
    </row>
    <row r="610" ht="12" customHeight="1" spans="1:27">
      <c r="A610" s="87"/>
      <c r="B610" s="87"/>
      <c r="C610" s="87"/>
      <c r="D610" s="87"/>
      <c r="E610" s="203"/>
      <c r="F610" s="87"/>
      <c r="G610" s="204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155"/>
      <c r="S610" s="156"/>
      <c r="T610" s="157"/>
      <c r="U610" s="173"/>
      <c r="V610" s="157"/>
      <c r="W610" s="157"/>
      <c r="X610" s="87"/>
      <c r="Y610" s="87"/>
      <c r="Z610" s="87"/>
      <c r="AA610" s="87"/>
    </row>
    <row r="611" ht="12" customHeight="1" spans="1:27">
      <c r="A611" s="87"/>
      <c r="B611" s="87"/>
      <c r="C611" s="87"/>
      <c r="D611" s="87"/>
      <c r="E611" s="203"/>
      <c r="F611" s="87"/>
      <c r="G611" s="204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155"/>
      <c r="S611" s="156"/>
      <c r="T611" s="157"/>
      <c r="U611" s="173"/>
      <c r="V611" s="157"/>
      <c r="W611" s="157"/>
      <c r="X611" s="87"/>
      <c r="Y611" s="87"/>
      <c r="Z611" s="87"/>
      <c r="AA611" s="87"/>
    </row>
    <row r="612" ht="12" customHeight="1" spans="1:27">
      <c r="A612" s="87"/>
      <c r="B612" s="87"/>
      <c r="C612" s="87"/>
      <c r="D612" s="87"/>
      <c r="E612" s="203"/>
      <c r="F612" s="87"/>
      <c r="G612" s="204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155"/>
      <c r="S612" s="156"/>
      <c r="T612" s="157"/>
      <c r="U612" s="173"/>
      <c r="V612" s="157"/>
      <c r="W612" s="157"/>
      <c r="X612" s="87"/>
      <c r="Y612" s="87"/>
      <c r="Z612" s="87"/>
      <c r="AA612" s="87"/>
    </row>
    <row r="613" ht="12" customHeight="1" spans="1:27">
      <c r="A613" s="87"/>
      <c r="B613" s="87"/>
      <c r="C613" s="87"/>
      <c r="D613" s="87"/>
      <c r="E613" s="203"/>
      <c r="F613" s="87"/>
      <c r="G613" s="204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155"/>
      <c r="S613" s="156"/>
      <c r="T613" s="157"/>
      <c r="U613" s="173"/>
      <c r="V613" s="157"/>
      <c r="W613" s="157"/>
      <c r="X613" s="87"/>
      <c r="Y613" s="87"/>
      <c r="Z613" s="87"/>
      <c r="AA613" s="87"/>
    </row>
    <row r="614" ht="12" customHeight="1" spans="1:27">
      <c r="A614" s="87"/>
      <c r="B614" s="87"/>
      <c r="C614" s="87"/>
      <c r="D614" s="87"/>
      <c r="E614" s="203"/>
      <c r="F614" s="87"/>
      <c r="G614" s="204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155"/>
      <c r="S614" s="156"/>
      <c r="T614" s="157"/>
      <c r="U614" s="173"/>
      <c r="V614" s="157"/>
      <c r="W614" s="157"/>
      <c r="X614" s="87"/>
      <c r="Y614" s="87"/>
      <c r="Z614" s="87"/>
      <c r="AA614" s="87"/>
    </row>
    <row r="615" ht="12" customHeight="1" spans="1:27">
      <c r="A615" s="87"/>
      <c r="B615" s="87"/>
      <c r="C615" s="87"/>
      <c r="D615" s="87"/>
      <c r="E615" s="203"/>
      <c r="F615" s="87"/>
      <c r="G615" s="204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155"/>
      <c r="S615" s="156"/>
      <c r="T615" s="157"/>
      <c r="U615" s="173"/>
      <c r="V615" s="157"/>
      <c r="W615" s="157"/>
      <c r="X615" s="87"/>
      <c r="Y615" s="87"/>
      <c r="Z615" s="87"/>
      <c r="AA615" s="87"/>
    </row>
    <row r="616" ht="12" customHeight="1" spans="1:27">
      <c r="A616" s="87"/>
      <c r="B616" s="87"/>
      <c r="C616" s="87"/>
      <c r="D616" s="87"/>
      <c r="E616" s="203"/>
      <c r="F616" s="87"/>
      <c r="G616" s="204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155"/>
      <c r="S616" s="156"/>
      <c r="T616" s="157"/>
      <c r="U616" s="173"/>
      <c r="V616" s="157"/>
      <c r="W616" s="157"/>
      <c r="X616" s="87"/>
      <c r="Y616" s="87"/>
      <c r="Z616" s="87"/>
      <c r="AA616" s="87"/>
    </row>
    <row r="617" ht="12" customHeight="1" spans="1:27">
      <c r="A617" s="87"/>
      <c r="B617" s="87"/>
      <c r="C617" s="87"/>
      <c r="D617" s="87"/>
      <c r="E617" s="203"/>
      <c r="F617" s="87"/>
      <c r="G617" s="204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155"/>
      <c r="S617" s="156"/>
      <c r="T617" s="157"/>
      <c r="U617" s="173"/>
      <c r="V617" s="157"/>
      <c r="W617" s="157"/>
      <c r="X617" s="87"/>
      <c r="Y617" s="87"/>
      <c r="Z617" s="87"/>
      <c r="AA617" s="87"/>
    </row>
    <row r="618" ht="12" customHeight="1" spans="1:27">
      <c r="A618" s="87"/>
      <c r="B618" s="87"/>
      <c r="C618" s="87"/>
      <c r="D618" s="87"/>
      <c r="E618" s="203"/>
      <c r="F618" s="87"/>
      <c r="G618" s="204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155"/>
      <c r="S618" s="156"/>
      <c r="T618" s="157"/>
      <c r="U618" s="173"/>
      <c r="V618" s="157"/>
      <c r="W618" s="157"/>
      <c r="X618" s="87"/>
      <c r="Y618" s="87"/>
      <c r="Z618" s="87"/>
      <c r="AA618" s="87"/>
    </row>
    <row r="619" ht="12" customHeight="1" spans="1:27">
      <c r="A619" s="87"/>
      <c r="B619" s="87"/>
      <c r="C619" s="87"/>
      <c r="D619" s="87"/>
      <c r="E619" s="203"/>
      <c r="F619" s="87"/>
      <c r="G619" s="204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155"/>
      <c r="S619" s="156"/>
      <c r="T619" s="157"/>
      <c r="U619" s="173"/>
      <c r="V619" s="157"/>
      <c r="W619" s="157"/>
      <c r="X619" s="87"/>
      <c r="Y619" s="87"/>
      <c r="Z619" s="87"/>
      <c r="AA619" s="87"/>
    </row>
    <row r="620" ht="12" customHeight="1" spans="1:27">
      <c r="A620" s="87"/>
      <c r="B620" s="87"/>
      <c r="C620" s="87"/>
      <c r="D620" s="87"/>
      <c r="E620" s="203"/>
      <c r="F620" s="87"/>
      <c r="G620" s="204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155"/>
      <c r="S620" s="156"/>
      <c r="T620" s="157"/>
      <c r="U620" s="173"/>
      <c r="V620" s="157"/>
      <c r="W620" s="157"/>
      <c r="X620" s="87"/>
      <c r="Y620" s="87"/>
      <c r="Z620" s="87"/>
      <c r="AA620" s="87"/>
    </row>
    <row r="621" ht="12" customHeight="1" spans="1:27">
      <c r="A621" s="87"/>
      <c r="B621" s="87"/>
      <c r="C621" s="87"/>
      <c r="D621" s="87"/>
      <c r="E621" s="203"/>
      <c r="F621" s="87"/>
      <c r="G621" s="204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155"/>
      <c r="S621" s="156"/>
      <c r="T621" s="157"/>
      <c r="U621" s="173"/>
      <c r="V621" s="157"/>
      <c r="W621" s="157"/>
      <c r="X621" s="87"/>
      <c r="Y621" s="87"/>
      <c r="Z621" s="87"/>
      <c r="AA621" s="87"/>
    </row>
    <row r="622" ht="12" customHeight="1" spans="1:27">
      <c r="A622" s="87"/>
      <c r="B622" s="87"/>
      <c r="C622" s="87"/>
      <c r="D622" s="87"/>
      <c r="E622" s="203"/>
      <c r="F622" s="87"/>
      <c r="G622" s="204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155"/>
      <c r="S622" s="156"/>
      <c r="T622" s="157"/>
      <c r="U622" s="173"/>
      <c r="V622" s="157"/>
      <c r="W622" s="157"/>
      <c r="X622" s="87"/>
      <c r="Y622" s="87"/>
      <c r="Z622" s="87"/>
      <c r="AA622" s="87"/>
    </row>
    <row r="623" ht="12" customHeight="1" spans="1:27">
      <c r="A623" s="87"/>
      <c r="B623" s="87"/>
      <c r="C623" s="87"/>
      <c r="D623" s="87"/>
      <c r="E623" s="203"/>
      <c r="F623" s="87"/>
      <c r="G623" s="204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155"/>
      <c r="S623" s="156"/>
      <c r="T623" s="157"/>
      <c r="U623" s="173"/>
      <c r="V623" s="157"/>
      <c r="W623" s="157"/>
      <c r="X623" s="87"/>
      <c r="Y623" s="87"/>
      <c r="Z623" s="87"/>
      <c r="AA623" s="87"/>
    </row>
    <row r="624" ht="12" customHeight="1" spans="1:27">
      <c r="A624" s="87"/>
      <c r="B624" s="87"/>
      <c r="C624" s="87"/>
      <c r="D624" s="87"/>
      <c r="E624" s="203"/>
      <c r="F624" s="87"/>
      <c r="G624" s="204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155"/>
      <c r="S624" s="156"/>
      <c r="T624" s="157"/>
      <c r="U624" s="173"/>
      <c r="V624" s="157"/>
      <c r="W624" s="157"/>
      <c r="X624" s="87"/>
      <c r="Y624" s="87"/>
      <c r="Z624" s="87"/>
      <c r="AA624" s="87"/>
    </row>
    <row r="625" ht="12" customHeight="1" spans="1:27">
      <c r="A625" s="87"/>
      <c r="B625" s="87"/>
      <c r="C625" s="87"/>
      <c r="D625" s="87"/>
      <c r="E625" s="203"/>
      <c r="F625" s="87"/>
      <c r="G625" s="204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155"/>
      <c r="S625" s="156"/>
      <c r="T625" s="157"/>
      <c r="U625" s="173"/>
      <c r="V625" s="157"/>
      <c r="W625" s="157"/>
      <c r="X625" s="87"/>
      <c r="Y625" s="87"/>
      <c r="Z625" s="87"/>
      <c r="AA625" s="87"/>
    </row>
    <row r="626" ht="12" customHeight="1" spans="1:27">
      <c r="A626" s="87"/>
      <c r="B626" s="87"/>
      <c r="C626" s="87"/>
      <c r="D626" s="87"/>
      <c r="E626" s="203"/>
      <c r="F626" s="87"/>
      <c r="G626" s="204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155"/>
      <c r="S626" s="156"/>
      <c r="T626" s="157"/>
      <c r="U626" s="173"/>
      <c r="V626" s="157"/>
      <c r="W626" s="157"/>
      <c r="X626" s="87"/>
      <c r="Y626" s="87"/>
      <c r="Z626" s="87"/>
      <c r="AA626" s="87"/>
    </row>
    <row r="627" ht="12" customHeight="1" spans="1:27">
      <c r="A627" s="87"/>
      <c r="B627" s="87"/>
      <c r="C627" s="87"/>
      <c r="D627" s="87"/>
      <c r="E627" s="203"/>
      <c r="F627" s="87"/>
      <c r="G627" s="204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155"/>
      <c r="S627" s="156"/>
      <c r="T627" s="157"/>
      <c r="U627" s="173"/>
      <c r="V627" s="157"/>
      <c r="W627" s="157"/>
      <c r="X627" s="87"/>
      <c r="Y627" s="87"/>
      <c r="Z627" s="87"/>
      <c r="AA627" s="87"/>
    </row>
    <row r="628" ht="12" customHeight="1" spans="1:27">
      <c r="A628" s="87"/>
      <c r="B628" s="87"/>
      <c r="C628" s="87"/>
      <c r="D628" s="87"/>
      <c r="E628" s="203"/>
      <c r="F628" s="87"/>
      <c r="G628" s="204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155"/>
      <c r="S628" s="156"/>
      <c r="T628" s="157"/>
      <c r="U628" s="173"/>
      <c r="V628" s="157"/>
      <c r="W628" s="157"/>
      <c r="X628" s="87"/>
      <c r="Y628" s="87"/>
      <c r="Z628" s="87"/>
      <c r="AA628" s="87"/>
    </row>
    <row r="629" ht="12" customHeight="1" spans="1:27">
      <c r="A629" s="87"/>
      <c r="B629" s="87"/>
      <c r="C629" s="87"/>
      <c r="D629" s="87"/>
      <c r="E629" s="203"/>
      <c r="F629" s="87"/>
      <c r="G629" s="204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155"/>
      <c r="S629" s="156"/>
      <c r="T629" s="157"/>
      <c r="U629" s="173"/>
      <c r="V629" s="157"/>
      <c r="W629" s="157"/>
      <c r="X629" s="87"/>
      <c r="Y629" s="87"/>
      <c r="Z629" s="87"/>
      <c r="AA629" s="87"/>
    </row>
    <row r="630" ht="12" customHeight="1" spans="1:27">
      <c r="A630" s="87"/>
      <c r="B630" s="87"/>
      <c r="C630" s="87"/>
      <c r="D630" s="87"/>
      <c r="E630" s="203"/>
      <c r="F630" s="87"/>
      <c r="G630" s="204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155"/>
      <c r="S630" s="156"/>
      <c r="T630" s="157"/>
      <c r="U630" s="173"/>
      <c r="V630" s="157"/>
      <c r="W630" s="157"/>
      <c r="X630" s="87"/>
      <c r="Y630" s="87"/>
      <c r="Z630" s="87"/>
      <c r="AA630" s="87"/>
    </row>
    <row r="631" ht="12" customHeight="1" spans="1:27">
      <c r="A631" s="87"/>
      <c r="B631" s="87"/>
      <c r="C631" s="87"/>
      <c r="D631" s="87"/>
      <c r="E631" s="203"/>
      <c r="F631" s="87"/>
      <c r="G631" s="204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155"/>
      <c r="S631" s="156"/>
      <c r="T631" s="157"/>
      <c r="U631" s="173"/>
      <c r="V631" s="157"/>
      <c r="W631" s="157"/>
      <c r="X631" s="87"/>
      <c r="Y631" s="87"/>
      <c r="Z631" s="87"/>
      <c r="AA631" s="87"/>
    </row>
    <row r="632" ht="12" customHeight="1" spans="1:27">
      <c r="A632" s="87"/>
      <c r="B632" s="87"/>
      <c r="C632" s="87"/>
      <c r="D632" s="87"/>
      <c r="E632" s="203"/>
      <c r="F632" s="87"/>
      <c r="G632" s="204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155"/>
      <c r="S632" s="156"/>
      <c r="T632" s="157"/>
      <c r="U632" s="173"/>
      <c r="V632" s="157"/>
      <c r="W632" s="157"/>
      <c r="X632" s="87"/>
      <c r="Y632" s="87"/>
      <c r="Z632" s="87"/>
      <c r="AA632" s="87"/>
    </row>
    <row r="633" ht="12" customHeight="1" spans="1:27">
      <c r="A633" s="87"/>
      <c r="B633" s="87"/>
      <c r="C633" s="87"/>
      <c r="D633" s="87"/>
      <c r="E633" s="203"/>
      <c r="F633" s="87"/>
      <c r="G633" s="204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155"/>
      <c r="S633" s="156"/>
      <c r="T633" s="157"/>
      <c r="U633" s="173"/>
      <c r="V633" s="157"/>
      <c r="W633" s="157"/>
      <c r="X633" s="87"/>
      <c r="Y633" s="87"/>
      <c r="Z633" s="87"/>
      <c r="AA633" s="87"/>
    </row>
    <row r="634" ht="12" customHeight="1" spans="1:27">
      <c r="A634" s="87"/>
      <c r="B634" s="87"/>
      <c r="C634" s="87"/>
      <c r="D634" s="87"/>
      <c r="E634" s="203"/>
      <c r="F634" s="87"/>
      <c r="G634" s="204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155"/>
      <c r="S634" s="156"/>
      <c r="T634" s="157"/>
      <c r="U634" s="173"/>
      <c r="V634" s="157"/>
      <c r="W634" s="157"/>
      <c r="X634" s="87"/>
      <c r="Y634" s="87"/>
      <c r="Z634" s="87"/>
      <c r="AA634" s="87"/>
    </row>
    <row r="635" ht="12" customHeight="1" spans="1:27">
      <c r="A635" s="87"/>
      <c r="B635" s="87"/>
      <c r="C635" s="87"/>
      <c r="D635" s="87"/>
      <c r="E635" s="203"/>
      <c r="F635" s="87"/>
      <c r="G635" s="204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155"/>
      <c r="S635" s="156"/>
      <c r="T635" s="157"/>
      <c r="U635" s="173"/>
      <c r="V635" s="157"/>
      <c r="W635" s="157"/>
      <c r="X635" s="87"/>
      <c r="Y635" s="87"/>
      <c r="Z635" s="87"/>
      <c r="AA635" s="87"/>
    </row>
    <row r="636" ht="12" customHeight="1" spans="1:27">
      <c r="A636" s="87"/>
      <c r="B636" s="87"/>
      <c r="C636" s="87"/>
      <c r="D636" s="87"/>
      <c r="E636" s="203"/>
      <c r="F636" s="87"/>
      <c r="G636" s="204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155"/>
      <c r="S636" s="156"/>
      <c r="T636" s="157"/>
      <c r="U636" s="173"/>
      <c r="V636" s="157"/>
      <c r="W636" s="157"/>
      <c r="X636" s="87"/>
      <c r="Y636" s="87"/>
      <c r="Z636" s="87"/>
      <c r="AA636" s="87"/>
    </row>
    <row r="637" ht="12" customHeight="1" spans="1:27">
      <c r="A637" s="87"/>
      <c r="B637" s="87"/>
      <c r="C637" s="87"/>
      <c r="D637" s="87"/>
      <c r="E637" s="203"/>
      <c r="F637" s="87"/>
      <c r="G637" s="204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155"/>
      <c r="S637" s="156"/>
      <c r="T637" s="157"/>
      <c r="U637" s="173"/>
      <c r="V637" s="157"/>
      <c r="W637" s="157"/>
      <c r="X637" s="87"/>
      <c r="Y637" s="87"/>
      <c r="Z637" s="87"/>
      <c r="AA637" s="87"/>
    </row>
    <row r="638" ht="12" customHeight="1" spans="1:27">
      <c r="A638" s="87"/>
      <c r="B638" s="87"/>
      <c r="C638" s="87"/>
      <c r="D638" s="87"/>
      <c r="E638" s="203"/>
      <c r="F638" s="87"/>
      <c r="G638" s="204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155"/>
      <c r="S638" s="156"/>
      <c r="T638" s="157"/>
      <c r="U638" s="173"/>
      <c r="V638" s="157"/>
      <c r="W638" s="157"/>
      <c r="X638" s="87"/>
      <c r="Y638" s="87"/>
      <c r="Z638" s="87"/>
      <c r="AA638" s="87"/>
    </row>
    <row r="639" ht="12" customHeight="1" spans="1:27">
      <c r="A639" s="87"/>
      <c r="B639" s="87"/>
      <c r="C639" s="87"/>
      <c r="D639" s="87"/>
      <c r="E639" s="203"/>
      <c r="F639" s="87"/>
      <c r="G639" s="204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155"/>
      <c r="S639" s="156"/>
      <c r="T639" s="157"/>
      <c r="U639" s="173"/>
      <c r="V639" s="157"/>
      <c r="W639" s="157"/>
      <c r="X639" s="87"/>
      <c r="Y639" s="87"/>
      <c r="Z639" s="87"/>
      <c r="AA639" s="87"/>
    </row>
    <row r="640" ht="12" customHeight="1" spans="1:27">
      <c r="A640" s="87"/>
      <c r="B640" s="87"/>
      <c r="C640" s="87"/>
      <c r="D640" s="87"/>
      <c r="E640" s="203"/>
      <c r="F640" s="87"/>
      <c r="G640" s="204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155"/>
      <c r="S640" s="156"/>
      <c r="T640" s="157"/>
      <c r="U640" s="173"/>
      <c r="V640" s="157"/>
      <c r="W640" s="157"/>
      <c r="X640" s="87"/>
      <c r="Y640" s="87"/>
      <c r="Z640" s="87"/>
      <c r="AA640" s="87"/>
    </row>
    <row r="641" ht="12" customHeight="1" spans="1:27">
      <c r="A641" s="87"/>
      <c r="B641" s="87"/>
      <c r="C641" s="87"/>
      <c r="D641" s="87"/>
      <c r="E641" s="203"/>
      <c r="F641" s="87"/>
      <c r="G641" s="204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155"/>
      <c r="S641" s="156"/>
      <c r="T641" s="157"/>
      <c r="U641" s="173"/>
      <c r="V641" s="157"/>
      <c r="W641" s="157"/>
      <c r="X641" s="87"/>
      <c r="Y641" s="87"/>
      <c r="Z641" s="87"/>
      <c r="AA641" s="87"/>
    </row>
    <row r="642" ht="12" customHeight="1" spans="1:27">
      <c r="A642" s="87"/>
      <c r="B642" s="87"/>
      <c r="C642" s="87"/>
      <c r="D642" s="87"/>
      <c r="E642" s="203"/>
      <c r="F642" s="87"/>
      <c r="G642" s="204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155"/>
      <c r="S642" s="156"/>
      <c r="T642" s="157"/>
      <c r="U642" s="173"/>
      <c r="V642" s="157"/>
      <c r="W642" s="157"/>
      <c r="X642" s="87"/>
      <c r="Y642" s="87"/>
      <c r="Z642" s="87"/>
      <c r="AA642" s="87"/>
    </row>
    <row r="643" ht="12" customHeight="1" spans="1:27">
      <c r="A643" s="87"/>
      <c r="B643" s="87"/>
      <c r="C643" s="87"/>
      <c r="D643" s="87"/>
      <c r="E643" s="203"/>
      <c r="F643" s="87"/>
      <c r="G643" s="204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155"/>
      <c r="S643" s="156"/>
      <c r="T643" s="157"/>
      <c r="U643" s="173"/>
      <c r="V643" s="157"/>
      <c r="W643" s="157"/>
      <c r="X643" s="87"/>
      <c r="Y643" s="87"/>
      <c r="Z643" s="87"/>
      <c r="AA643" s="87"/>
    </row>
    <row r="644" ht="12" customHeight="1" spans="1:27">
      <c r="A644" s="87"/>
      <c r="B644" s="87"/>
      <c r="C644" s="87"/>
      <c r="D644" s="87"/>
      <c r="E644" s="203"/>
      <c r="F644" s="87"/>
      <c r="G644" s="204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155"/>
      <c r="S644" s="156"/>
      <c r="T644" s="157"/>
      <c r="U644" s="173"/>
      <c r="V644" s="157"/>
      <c r="W644" s="157"/>
      <c r="X644" s="87"/>
      <c r="Y644" s="87"/>
      <c r="Z644" s="87"/>
      <c r="AA644" s="87"/>
    </row>
    <row r="645" ht="12" customHeight="1" spans="1:27">
      <c r="A645" s="87"/>
      <c r="B645" s="87"/>
      <c r="C645" s="87"/>
      <c r="D645" s="87"/>
      <c r="E645" s="203"/>
      <c r="F645" s="87"/>
      <c r="G645" s="204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155"/>
      <c r="S645" s="156"/>
      <c r="T645" s="157"/>
      <c r="U645" s="173"/>
      <c r="V645" s="157"/>
      <c r="W645" s="157"/>
      <c r="X645" s="87"/>
      <c r="Y645" s="87"/>
      <c r="Z645" s="87"/>
      <c r="AA645" s="87"/>
    </row>
    <row r="646" ht="12" customHeight="1" spans="1:27">
      <c r="A646" s="87"/>
      <c r="B646" s="87"/>
      <c r="C646" s="87"/>
      <c r="D646" s="87"/>
      <c r="E646" s="203"/>
      <c r="F646" s="87"/>
      <c r="G646" s="204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155"/>
      <c r="S646" s="156"/>
      <c r="T646" s="157"/>
      <c r="U646" s="173"/>
      <c r="V646" s="157"/>
      <c r="W646" s="157"/>
      <c r="X646" s="87"/>
      <c r="Y646" s="87"/>
      <c r="Z646" s="87"/>
      <c r="AA646" s="87"/>
    </row>
    <row r="647" ht="12" customHeight="1" spans="1:27">
      <c r="A647" s="87"/>
      <c r="B647" s="87"/>
      <c r="C647" s="87"/>
      <c r="D647" s="87"/>
      <c r="E647" s="203"/>
      <c r="F647" s="87"/>
      <c r="G647" s="204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155"/>
      <c r="S647" s="156"/>
      <c r="T647" s="157"/>
      <c r="U647" s="173"/>
      <c r="V647" s="157"/>
      <c r="W647" s="157"/>
      <c r="X647" s="87"/>
      <c r="Y647" s="87"/>
      <c r="Z647" s="87"/>
      <c r="AA647" s="87"/>
    </row>
    <row r="648" ht="12" customHeight="1" spans="1:27">
      <c r="A648" s="87"/>
      <c r="B648" s="87"/>
      <c r="C648" s="87"/>
      <c r="D648" s="87"/>
      <c r="E648" s="203"/>
      <c r="F648" s="87"/>
      <c r="G648" s="204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155"/>
      <c r="S648" s="156"/>
      <c r="T648" s="157"/>
      <c r="U648" s="173"/>
      <c r="V648" s="157"/>
      <c r="W648" s="157"/>
      <c r="X648" s="87"/>
      <c r="Y648" s="87"/>
      <c r="Z648" s="87"/>
      <c r="AA648" s="87"/>
    </row>
    <row r="649" ht="12" customHeight="1" spans="1:27">
      <c r="A649" s="87"/>
      <c r="B649" s="87"/>
      <c r="C649" s="87"/>
      <c r="D649" s="87"/>
      <c r="E649" s="203"/>
      <c r="F649" s="87"/>
      <c r="G649" s="204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155"/>
      <c r="S649" s="156"/>
      <c r="T649" s="157"/>
      <c r="U649" s="173"/>
      <c r="V649" s="157"/>
      <c r="W649" s="157"/>
      <c r="X649" s="87"/>
      <c r="Y649" s="87"/>
      <c r="Z649" s="87"/>
      <c r="AA649" s="87"/>
    </row>
    <row r="650" ht="12" customHeight="1" spans="1:27">
      <c r="A650" s="87"/>
      <c r="B650" s="87"/>
      <c r="C650" s="87"/>
      <c r="D650" s="87"/>
      <c r="E650" s="203"/>
      <c r="F650" s="87"/>
      <c r="G650" s="204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155"/>
      <c r="S650" s="156"/>
      <c r="T650" s="157"/>
      <c r="U650" s="173"/>
      <c r="V650" s="157"/>
      <c r="W650" s="157"/>
      <c r="X650" s="87"/>
      <c r="Y650" s="87"/>
      <c r="Z650" s="87"/>
      <c r="AA650" s="87"/>
    </row>
    <row r="651" ht="12" customHeight="1" spans="1:27">
      <c r="A651" s="87"/>
      <c r="B651" s="87"/>
      <c r="C651" s="87"/>
      <c r="D651" s="87"/>
      <c r="E651" s="203"/>
      <c r="F651" s="87"/>
      <c r="G651" s="204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155"/>
      <c r="S651" s="156"/>
      <c r="T651" s="157"/>
      <c r="U651" s="173"/>
      <c r="V651" s="157"/>
      <c r="W651" s="157"/>
      <c r="X651" s="87"/>
      <c r="Y651" s="87"/>
      <c r="Z651" s="87"/>
      <c r="AA651" s="87"/>
    </row>
    <row r="652" ht="12" customHeight="1" spans="1:27">
      <c r="A652" s="87"/>
      <c r="B652" s="87"/>
      <c r="C652" s="87"/>
      <c r="D652" s="87"/>
      <c r="E652" s="203"/>
      <c r="F652" s="87"/>
      <c r="G652" s="204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155"/>
      <c r="S652" s="156"/>
      <c r="T652" s="157"/>
      <c r="U652" s="173"/>
      <c r="V652" s="157"/>
      <c r="W652" s="157"/>
      <c r="X652" s="87"/>
      <c r="Y652" s="87"/>
      <c r="Z652" s="87"/>
      <c r="AA652" s="87"/>
    </row>
    <row r="653" ht="12" customHeight="1" spans="1:27">
      <c r="A653" s="87"/>
      <c r="B653" s="87"/>
      <c r="C653" s="87"/>
      <c r="D653" s="87"/>
      <c r="E653" s="203"/>
      <c r="F653" s="87"/>
      <c r="G653" s="204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155"/>
      <c r="S653" s="156"/>
      <c r="T653" s="157"/>
      <c r="U653" s="173"/>
      <c r="V653" s="157"/>
      <c r="W653" s="157"/>
      <c r="X653" s="87"/>
      <c r="Y653" s="87"/>
      <c r="Z653" s="87"/>
      <c r="AA653" s="87"/>
    </row>
    <row r="654" ht="12" customHeight="1" spans="1:27">
      <c r="A654" s="87"/>
      <c r="B654" s="87"/>
      <c r="C654" s="87"/>
      <c r="D654" s="87"/>
      <c r="E654" s="203"/>
      <c r="F654" s="87"/>
      <c r="G654" s="204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155"/>
      <c r="S654" s="156"/>
      <c r="T654" s="157"/>
      <c r="U654" s="173"/>
      <c r="V654" s="157"/>
      <c r="W654" s="157"/>
      <c r="X654" s="87"/>
      <c r="Y654" s="87"/>
      <c r="Z654" s="87"/>
      <c r="AA654" s="87"/>
    </row>
    <row r="655" ht="12" customHeight="1" spans="1:27">
      <c r="A655" s="87"/>
      <c r="B655" s="87"/>
      <c r="C655" s="87"/>
      <c r="D655" s="87"/>
      <c r="E655" s="203"/>
      <c r="F655" s="87"/>
      <c r="G655" s="204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155"/>
      <c r="S655" s="156"/>
      <c r="T655" s="157"/>
      <c r="U655" s="173"/>
      <c r="V655" s="157"/>
      <c r="W655" s="157"/>
      <c r="X655" s="87"/>
      <c r="Y655" s="87"/>
      <c r="Z655" s="87"/>
      <c r="AA655" s="87"/>
    </row>
    <row r="656" ht="12" customHeight="1" spans="1:27">
      <c r="A656" s="87"/>
      <c r="B656" s="87"/>
      <c r="C656" s="87"/>
      <c r="D656" s="87"/>
      <c r="E656" s="203"/>
      <c r="F656" s="87"/>
      <c r="G656" s="204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155"/>
      <c r="S656" s="156"/>
      <c r="T656" s="157"/>
      <c r="U656" s="173"/>
      <c r="V656" s="157"/>
      <c r="W656" s="157"/>
      <c r="X656" s="87"/>
      <c r="Y656" s="87"/>
      <c r="Z656" s="87"/>
      <c r="AA656" s="87"/>
    </row>
    <row r="657" ht="12" customHeight="1" spans="1:27">
      <c r="A657" s="87"/>
      <c r="B657" s="87"/>
      <c r="C657" s="87"/>
      <c r="D657" s="87"/>
      <c r="E657" s="203"/>
      <c r="F657" s="87"/>
      <c r="G657" s="204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155"/>
      <c r="S657" s="156"/>
      <c r="T657" s="157"/>
      <c r="U657" s="173"/>
      <c r="V657" s="157"/>
      <c r="W657" s="157"/>
      <c r="X657" s="87"/>
      <c r="Y657" s="87"/>
      <c r="Z657" s="87"/>
      <c r="AA657" s="87"/>
    </row>
    <row r="658" ht="12" customHeight="1" spans="1:27">
      <c r="A658" s="87"/>
      <c r="B658" s="87"/>
      <c r="C658" s="87"/>
      <c r="D658" s="87"/>
      <c r="E658" s="203"/>
      <c r="F658" s="87"/>
      <c r="G658" s="204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155"/>
      <c r="S658" s="156"/>
      <c r="T658" s="157"/>
      <c r="U658" s="173"/>
      <c r="V658" s="157"/>
      <c r="W658" s="157"/>
      <c r="X658" s="87"/>
      <c r="Y658" s="87"/>
      <c r="Z658" s="87"/>
      <c r="AA658" s="87"/>
    </row>
    <row r="659" ht="12" customHeight="1" spans="1:27">
      <c r="A659" s="87"/>
      <c r="B659" s="87"/>
      <c r="C659" s="87"/>
      <c r="D659" s="87"/>
      <c r="E659" s="203"/>
      <c r="F659" s="87"/>
      <c r="G659" s="204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155"/>
      <c r="S659" s="156"/>
      <c r="T659" s="157"/>
      <c r="U659" s="173"/>
      <c r="V659" s="157"/>
      <c r="W659" s="157"/>
      <c r="X659" s="87"/>
      <c r="Y659" s="87"/>
      <c r="Z659" s="87"/>
      <c r="AA659" s="87"/>
    </row>
    <row r="660" ht="12" customHeight="1" spans="1:27">
      <c r="A660" s="87"/>
      <c r="B660" s="87"/>
      <c r="C660" s="87"/>
      <c r="D660" s="87"/>
      <c r="E660" s="203"/>
      <c r="F660" s="87"/>
      <c r="G660" s="204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155"/>
      <c r="S660" s="156"/>
      <c r="T660" s="157"/>
      <c r="U660" s="173"/>
      <c r="V660" s="157"/>
      <c r="W660" s="157"/>
      <c r="X660" s="87"/>
      <c r="Y660" s="87"/>
      <c r="Z660" s="87"/>
      <c r="AA660" s="87"/>
    </row>
    <row r="661" ht="12" customHeight="1" spans="1:27">
      <c r="A661" s="87"/>
      <c r="B661" s="87"/>
      <c r="C661" s="87"/>
      <c r="D661" s="87"/>
      <c r="E661" s="203"/>
      <c r="F661" s="87"/>
      <c r="G661" s="204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155"/>
      <c r="S661" s="156"/>
      <c r="T661" s="157"/>
      <c r="U661" s="173"/>
      <c r="V661" s="157"/>
      <c r="W661" s="157"/>
      <c r="X661" s="87"/>
      <c r="Y661" s="87"/>
      <c r="Z661" s="87"/>
      <c r="AA661" s="87"/>
    </row>
    <row r="662" ht="12" customHeight="1" spans="1:27">
      <c r="A662" s="87"/>
      <c r="B662" s="87"/>
      <c r="C662" s="87"/>
      <c r="D662" s="87"/>
      <c r="E662" s="203"/>
      <c r="F662" s="87"/>
      <c r="G662" s="204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155"/>
      <c r="S662" s="156"/>
      <c r="T662" s="157"/>
      <c r="U662" s="173"/>
      <c r="V662" s="157"/>
      <c r="W662" s="157"/>
      <c r="X662" s="87"/>
      <c r="Y662" s="87"/>
      <c r="Z662" s="87"/>
      <c r="AA662" s="87"/>
    </row>
    <row r="663" ht="12" customHeight="1" spans="1:27">
      <c r="A663" s="87"/>
      <c r="B663" s="87"/>
      <c r="C663" s="87"/>
      <c r="D663" s="87"/>
      <c r="E663" s="203"/>
      <c r="F663" s="87"/>
      <c r="G663" s="204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155"/>
      <c r="S663" s="156"/>
      <c r="T663" s="157"/>
      <c r="U663" s="173"/>
      <c r="V663" s="157"/>
      <c r="W663" s="157"/>
      <c r="X663" s="87"/>
      <c r="Y663" s="87"/>
      <c r="Z663" s="87"/>
      <c r="AA663" s="87"/>
    </row>
    <row r="664" ht="12" customHeight="1" spans="1:27">
      <c r="A664" s="87"/>
      <c r="B664" s="87"/>
      <c r="C664" s="87"/>
      <c r="D664" s="87"/>
      <c r="E664" s="203"/>
      <c r="F664" s="87"/>
      <c r="G664" s="204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155"/>
      <c r="S664" s="156"/>
      <c r="T664" s="157"/>
      <c r="U664" s="173"/>
      <c r="V664" s="157"/>
      <c r="W664" s="157"/>
      <c r="X664" s="87"/>
      <c r="Y664" s="87"/>
      <c r="Z664" s="87"/>
      <c r="AA664" s="87"/>
    </row>
    <row r="665" ht="12" customHeight="1" spans="1:27">
      <c r="A665" s="87"/>
      <c r="B665" s="87"/>
      <c r="C665" s="87"/>
      <c r="D665" s="87"/>
      <c r="E665" s="203"/>
      <c r="F665" s="87"/>
      <c r="G665" s="204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155"/>
      <c r="S665" s="156"/>
      <c r="T665" s="157"/>
      <c r="U665" s="173"/>
      <c r="V665" s="157"/>
      <c r="W665" s="157"/>
      <c r="X665" s="87"/>
      <c r="Y665" s="87"/>
      <c r="Z665" s="87"/>
      <c r="AA665" s="87"/>
    </row>
    <row r="666" ht="12" customHeight="1" spans="1:27">
      <c r="A666" s="87"/>
      <c r="B666" s="87"/>
      <c r="C666" s="87"/>
      <c r="D666" s="87"/>
      <c r="E666" s="203"/>
      <c r="F666" s="87"/>
      <c r="G666" s="204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155"/>
      <c r="S666" s="156"/>
      <c r="T666" s="157"/>
      <c r="U666" s="173"/>
      <c r="V666" s="157"/>
      <c r="W666" s="157"/>
      <c r="X666" s="87"/>
      <c r="Y666" s="87"/>
      <c r="Z666" s="87"/>
      <c r="AA666" s="87"/>
    </row>
    <row r="667" ht="12" customHeight="1" spans="1:27">
      <c r="A667" s="87"/>
      <c r="B667" s="87"/>
      <c r="C667" s="87"/>
      <c r="D667" s="87"/>
      <c r="E667" s="203"/>
      <c r="F667" s="87"/>
      <c r="G667" s="204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155"/>
      <c r="S667" s="156"/>
      <c r="T667" s="157"/>
      <c r="U667" s="173"/>
      <c r="V667" s="157"/>
      <c r="W667" s="157"/>
      <c r="X667" s="87"/>
      <c r="Y667" s="87"/>
      <c r="Z667" s="87"/>
      <c r="AA667" s="87"/>
    </row>
    <row r="668" ht="12" customHeight="1" spans="1:27">
      <c r="A668" s="87"/>
      <c r="B668" s="87"/>
      <c r="C668" s="87"/>
      <c r="D668" s="87"/>
      <c r="E668" s="203"/>
      <c r="F668" s="87"/>
      <c r="G668" s="204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155"/>
      <c r="S668" s="156"/>
      <c r="T668" s="157"/>
      <c r="U668" s="173"/>
      <c r="V668" s="157"/>
      <c r="W668" s="157"/>
      <c r="X668" s="87"/>
      <c r="Y668" s="87"/>
      <c r="Z668" s="87"/>
      <c r="AA668" s="87"/>
    </row>
    <row r="669" ht="12" customHeight="1" spans="1:27">
      <c r="A669" s="87"/>
      <c r="B669" s="87"/>
      <c r="C669" s="87"/>
      <c r="D669" s="87"/>
      <c r="E669" s="203"/>
      <c r="F669" s="87"/>
      <c r="G669" s="204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155"/>
      <c r="S669" s="156"/>
      <c r="T669" s="157"/>
      <c r="U669" s="173"/>
      <c r="V669" s="157"/>
      <c r="W669" s="157"/>
      <c r="X669" s="87"/>
      <c r="Y669" s="87"/>
      <c r="Z669" s="87"/>
      <c r="AA669" s="87"/>
    </row>
    <row r="670" ht="12" customHeight="1" spans="1:27">
      <c r="A670" s="87"/>
      <c r="B670" s="87"/>
      <c r="C670" s="87"/>
      <c r="D670" s="87"/>
      <c r="E670" s="203"/>
      <c r="F670" s="87"/>
      <c r="G670" s="204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155"/>
      <c r="S670" s="156"/>
      <c r="T670" s="157"/>
      <c r="U670" s="173"/>
      <c r="V670" s="157"/>
      <c r="W670" s="157"/>
      <c r="X670" s="87"/>
      <c r="Y670" s="87"/>
      <c r="Z670" s="87"/>
      <c r="AA670" s="87"/>
    </row>
    <row r="671" ht="12" customHeight="1" spans="1:27">
      <c r="A671" s="87"/>
      <c r="B671" s="87"/>
      <c r="C671" s="87"/>
      <c r="D671" s="87"/>
      <c r="E671" s="203"/>
      <c r="F671" s="87"/>
      <c r="G671" s="204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155"/>
      <c r="S671" s="156"/>
      <c r="T671" s="157"/>
      <c r="U671" s="173"/>
      <c r="V671" s="157"/>
      <c r="W671" s="157"/>
      <c r="X671" s="87"/>
      <c r="Y671" s="87"/>
      <c r="Z671" s="87"/>
      <c r="AA671" s="87"/>
    </row>
    <row r="672" ht="12" customHeight="1" spans="1:27">
      <c r="A672" s="87"/>
      <c r="B672" s="87"/>
      <c r="C672" s="87"/>
      <c r="D672" s="87"/>
      <c r="E672" s="203"/>
      <c r="F672" s="87"/>
      <c r="G672" s="204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155"/>
      <c r="S672" s="156"/>
      <c r="T672" s="157"/>
      <c r="U672" s="173"/>
      <c r="V672" s="157"/>
      <c r="W672" s="157"/>
      <c r="X672" s="87"/>
      <c r="Y672" s="87"/>
      <c r="Z672" s="87"/>
      <c r="AA672" s="87"/>
    </row>
    <row r="673" ht="12" customHeight="1" spans="1:27">
      <c r="A673" s="87"/>
      <c r="B673" s="87"/>
      <c r="C673" s="87"/>
      <c r="D673" s="87"/>
      <c r="E673" s="203"/>
      <c r="F673" s="87"/>
      <c r="G673" s="204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155"/>
      <c r="S673" s="156"/>
      <c r="T673" s="157"/>
      <c r="U673" s="173"/>
      <c r="V673" s="157"/>
      <c r="W673" s="157"/>
      <c r="X673" s="87"/>
      <c r="Y673" s="87"/>
      <c r="Z673" s="87"/>
      <c r="AA673" s="87"/>
    </row>
    <row r="674" ht="12" customHeight="1" spans="1:27">
      <c r="A674" s="87"/>
      <c r="B674" s="87"/>
      <c r="C674" s="87"/>
      <c r="D674" s="87"/>
      <c r="E674" s="203"/>
      <c r="F674" s="87"/>
      <c r="G674" s="204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155"/>
      <c r="S674" s="156"/>
      <c r="T674" s="157"/>
      <c r="U674" s="173"/>
      <c r="V674" s="157"/>
      <c r="W674" s="157"/>
      <c r="X674" s="87"/>
      <c r="Y674" s="87"/>
      <c r="Z674" s="87"/>
      <c r="AA674" s="87"/>
    </row>
    <row r="675" ht="12" customHeight="1" spans="1:27">
      <c r="A675" s="87"/>
      <c r="B675" s="87"/>
      <c r="C675" s="87"/>
      <c r="D675" s="87"/>
      <c r="E675" s="203"/>
      <c r="F675" s="87"/>
      <c r="G675" s="204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155"/>
      <c r="S675" s="156"/>
      <c r="T675" s="157"/>
      <c r="U675" s="173"/>
      <c r="V675" s="157"/>
      <c r="W675" s="157"/>
      <c r="X675" s="87"/>
      <c r="Y675" s="87"/>
      <c r="Z675" s="87"/>
      <c r="AA675" s="87"/>
    </row>
    <row r="676" ht="12" customHeight="1" spans="1:27">
      <c r="A676" s="87"/>
      <c r="B676" s="87"/>
      <c r="C676" s="87"/>
      <c r="D676" s="87"/>
      <c r="E676" s="203"/>
      <c r="F676" s="87"/>
      <c r="G676" s="204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155"/>
      <c r="S676" s="156"/>
      <c r="T676" s="157"/>
      <c r="U676" s="173"/>
      <c r="V676" s="157"/>
      <c r="W676" s="157"/>
      <c r="X676" s="87"/>
      <c r="Y676" s="87"/>
      <c r="Z676" s="87"/>
      <c r="AA676" s="87"/>
    </row>
    <row r="677" ht="12" customHeight="1" spans="1:27">
      <c r="A677" s="87"/>
      <c r="B677" s="87"/>
      <c r="C677" s="87"/>
      <c r="D677" s="87"/>
      <c r="E677" s="203"/>
      <c r="F677" s="87"/>
      <c r="G677" s="204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155"/>
      <c r="S677" s="156"/>
      <c r="T677" s="157"/>
      <c r="U677" s="173"/>
      <c r="V677" s="157"/>
      <c r="W677" s="157"/>
      <c r="X677" s="87"/>
      <c r="Y677" s="87"/>
      <c r="Z677" s="87"/>
      <c r="AA677" s="87"/>
    </row>
    <row r="678" ht="12" customHeight="1" spans="1:27">
      <c r="A678" s="87"/>
      <c r="B678" s="87"/>
      <c r="C678" s="87"/>
      <c r="D678" s="87"/>
      <c r="E678" s="203"/>
      <c r="F678" s="87"/>
      <c r="G678" s="204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155"/>
      <c r="S678" s="156"/>
      <c r="T678" s="157"/>
      <c r="U678" s="173"/>
      <c r="V678" s="157"/>
      <c r="W678" s="157"/>
      <c r="X678" s="87"/>
      <c r="Y678" s="87"/>
      <c r="Z678" s="87"/>
      <c r="AA678" s="87"/>
    </row>
    <row r="679" ht="12" customHeight="1" spans="1:27">
      <c r="A679" s="87"/>
      <c r="B679" s="87"/>
      <c r="C679" s="87"/>
      <c r="D679" s="87"/>
      <c r="E679" s="203"/>
      <c r="F679" s="87"/>
      <c r="G679" s="204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155"/>
      <c r="S679" s="156"/>
      <c r="T679" s="157"/>
      <c r="U679" s="173"/>
      <c r="V679" s="157"/>
      <c r="W679" s="157"/>
      <c r="X679" s="87"/>
      <c r="Y679" s="87"/>
      <c r="Z679" s="87"/>
      <c r="AA679" s="87"/>
    </row>
    <row r="680" ht="12" customHeight="1" spans="1:27">
      <c r="A680" s="87"/>
      <c r="B680" s="87"/>
      <c r="C680" s="87"/>
      <c r="D680" s="87"/>
      <c r="E680" s="203"/>
      <c r="F680" s="87"/>
      <c r="G680" s="204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155"/>
      <c r="S680" s="156"/>
      <c r="T680" s="157"/>
      <c r="U680" s="173"/>
      <c r="V680" s="157"/>
      <c r="W680" s="157"/>
      <c r="X680" s="87"/>
      <c r="Y680" s="87"/>
      <c r="Z680" s="87"/>
      <c r="AA680" s="87"/>
    </row>
    <row r="681" ht="12" customHeight="1" spans="1:27">
      <c r="A681" s="87"/>
      <c r="B681" s="87"/>
      <c r="C681" s="87"/>
      <c r="D681" s="87"/>
      <c r="E681" s="203"/>
      <c r="F681" s="87"/>
      <c r="G681" s="204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155"/>
      <c r="S681" s="156"/>
      <c r="T681" s="157"/>
      <c r="U681" s="173"/>
      <c r="V681" s="157"/>
      <c r="W681" s="157"/>
      <c r="X681" s="87"/>
      <c r="Y681" s="87"/>
      <c r="Z681" s="87"/>
      <c r="AA681" s="87"/>
    </row>
    <row r="682" ht="12" customHeight="1" spans="1:27">
      <c r="A682" s="87"/>
      <c r="B682" s="87"/>
      <c r="C682" s="87"/>
      <c r="D682" s="87"/>
      <c r="E682" s="203"/>
      <c r="F682" s="87"/>
      <c r="G682" s="204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155"/>
      <c r="S682" s="156"/>
      <c r="T682" s="157"/>
      <c r="U682" s="173"/>
      <c r="V682" s="157"/>
      <c r="W682" s="157"/>
      <c r="X682" s="87"/>
      <c r="Y682" s="87"/>
      <c r="Z682" s="87"/>
      <c r="AA682" s="87"/>
    </row>
    <row r="683" ht="12" customHeight="1" spans="1:27">
      <c r="A683" s="87"/>
      <c r="B683" s="87"/>
      <c r="C683" s="87"/>
      <c r="D683" s="87"/>
      <c r="E683" s="203"/>
      <c r="F683" s="87"/>
      <c r="G683" s="204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155"/>
      <c r="S683" s="156"/>
      <c r="T683" s="157"/>
      <c r="U683" s="173"/>
      <c r="V683" s="157"/>
      <c r="W683" s="157"/>
      <c r="X683" s="87"/>
      <c r="Y683" s="87"/>
      <c r="Z683" s="87"/>
      <c r="AA683" s="87"/>
    </row>
    <row r="684" ht="12" customHeight="1" spans="1:27">
      <c r="A684" s="87"/>
      <c r="B684" s="87"/>
      <c r="C684" s="87"/>
      <c r="D684" s="87"/>
      <c r="E684" s="203"/>
      <c r="F684" s="87"/>
      <c r="G684" s="204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155"/>
      <c r="S684" s="156"/>
      <c r="T684" s="157"/>
      <c r="U684" s="173"/>
      <c r="V684" s="157"/>
      <c r="W684" s="157"/>
      <c r="X684" s="87"/>
      <c r="Y684" s="87"/>
      <c r="Z684" s="87"/>
      <c r="AA684" s="87"/>
    </row>
    <row r="685" ht="12" customHeight="1" spans="1:27">
      <c r="A685" s="87"/>
      <c r="B685" s="87"/>
      <c r="C685" s="87"/>
      <c r="D685" s="87"/>
      <c r="E685" s="203"/>
      <c r="F685" s="87"/>
      <c r="G685" s="204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155"/>
      <c r="S685" s="156"/>
      <c r="T685" s="157"/>
      <c r="U685" s="173"/>
      <c r="V685" s="157"/>
      <c r="W685" s="157"/>
      <c r="X685" s="87"/>
      <c r="Y685" s="87"/>
      <c r="Z685" s="87"/>
      <c r="AA685" s="87"/>
    </row>
    <row r="686" ht="12" customHeight="1" spans="1:27">
      <c r="A686" s="87"/>
      <c r="B686" s="87"/>
      <c r="C686" s="87"/>
      <c r="D686" s="87"/>
      <c r="E686" s="203"/>
      <c r="F686" s="87"/>
      <c r="G686" s="204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155"/>
      <c r="S686" s="156"/>
      <c r="T686" s="157"/>
      <c r="U686" s="173"/>
      <c r="V686" s="157"/>
      <c r="W686" s="157"/>
      <c r="X686" s="87"/>
      <c r="Y686" s="87"/>
      <c r="Z686" s="87"/>
      <c r="AA686" s="87"/>
    </row>
    <row r="687" ht="12" customHeight="1" spans="1:27">
      <c r="A687" s="87"/>
      <c r="B687" s="87"/>
      <c r="C687" s="87"/>
      <c r="D687" s="87"/>
      <c r="E687" s="203"/>
      <c r="F687" s="87"/>
      <c r="G687" s="204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155"/>
      <c r="S687" s="156"/>
      <c r="T687" s="157"/>
      <c r="U687" s="173"/>
      <c r="V687" s="157"/>
      <c r="W687" s="157"/>
      <c r="X687" s="87"/>
      <c r="Y687" s="87"/>
      <c r="Z687" s="87"/>
      <c r="AA687" s="87"/>
    </row>
    <row r="688" ht="12" customHeight="1" spans="1:27">
      <c r="A688" s="87"/>
      <c r="B688" s="87"/>
      <c r="C688" s="87"/>
      <c r="D688" s="87"/>
      <c r="E688" s="203"/>
      <c r="F688" s="87"/>
      <c r="G688" s="204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155"/>
      <c r="S688" s="156"/>
      <c r="T688" s="157"/>
      <c r="U688" s="173"/>
      <c r="V688" s="157"/>
      <c r="W688" s="157"/>
      <c r="X688" s="87"/>
      <c r="Y688" s="87"/>
      <c r="Z688" s="87"/>
      <c r="AA688" s="87"/>
    </row>
    <row r="689" ht="12" customHeight="1" spans="1:27">
      <c r="A689" s="87"/>
      <c r="B689" s="87"/>
      <c r="C689" s="87"/>
      <c r="D689" s="87"/>
      <c r="E689" s="203"/>
      <c r="F689" s="87"/>
      <c r="G689" s="204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155"/>
      <c r="S689" s="156"/>
      <c r="T689" s="157"/>
      <c r="U689" s="173"/>
      <c r="V689" s="157"/>
      <c r="W689" s="157"/>
      <c r="X689" s="87"/>
      <c r="Y689" s="87"/>
      <c r="Z689" s="87"/>
      <c r="AA689" s="87"/>
    </row>
    <row r="690" ht="12" customHeight="1" spans="1:27">
      <c r="A690" s="87"/>
      <c r="B690" s="87"/>
      <c r="C690" s="87"/>
      <c r="D690" s="87"/>
      <c r="E690" s="203"/>
      <c r="F690" s="87"/>
      <c r="G690" s="204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155"/>
      <c r="S690" s="156"/>
      <c r="T690" s="157"/>
      <c r="U690" s="173"/>
      <c r="V690" s="157"/>
      <c r="W690" s="157"/>
      <c r="X690" s="87"/>
      <c r="Y690" s="87"/>
      <c r="Z690" s="87"/>
      <c r="AA690" s="87"/>
    </row>
    <row r="691" ht="12" customHeight="1" spans="1:27">
      <c r="A691" s="87"/>
      <c r="B691" s="87"/>
      <c r="C691" s="87"/>
      <c r="D691" s="87"/>
      <c r="E691" s="203"/>
      <c r="F691" s="87"/>
      <c r="G691" s="204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155"/>
      <c r="S691" s="156"/>
      <c r="T691" s="157"/>
      <c r="U691" s="173"/>
      <c r="V691" s="157"/>
      <c r="W691" s="157"/>
      <c r="X691" s="87"/>
      <c r="Y691" s="87"/>
      <c r="Z691" s="87"/>
      <c r="AA691" s="87"/>
    </row>
    <row r="692" ht="12" customHeight="1" spans="1:27">
      <c r="A692" s="87"/>
      <c r="B692" s="87"/>
      <c r="C692" s="87"/>
      <c r="D692" s="87"/>
      <c r="E692" s="203"/>
      <c r="F692" s="87"/>
      <c r="G692" s="204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155"/>
      <c r="S692" s="156"/>
      <c r="T692" s="157"/>
      <c r="U692" s="173"/>
      <c r="V692" s="157"/>
      <c r="W692" s="157"/>
      <c r="X692" s="87"/>
      <c r="Y692" s="87"/>
      <c r="Z692" s="87"/>
      <c r="AA692" s="87"/>
    </row>
    <row r="693" ht="12" customHeight="1" spans="1:27">
      <c r="A693" s="87"/>
      <c r="B693" s="87"/>
      <c r="C693" s="87"/>
      <c r="D693" s="87"/>
      <c r="E693" s="203"/>
      <c r="F693" s="87"/>
      <c r="G693" s="204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155"/>
      <c r="S693" s="156"/>
      <c r="T693" s="157"/>
      <c r="U693" s="173"/>
      <c r="V693" s="157"/>
      <c r="W693" s="157"/>
      <c r="X693" s="87"/>
      <c r="Y693" s="87"/>
      <c r="Z693" s="87"/>
      <c r="AA693" s="87"/>
    </row>
    <row r="694" ht="12" customHeight="1" spans="1:27">
      <c r="A694" s="87"/>
      <c r="B694" s="87"/>
      <c r="C694" s="87"/>
      <c r="D694" s="87"/>
      <c r="E694" s="203"/>
      <c r="F694" s="87"/>
      <c r="G694" s="204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155"/>
      <c r="S694" s="156"/>
      <c r="T694" s="157"/>
      <c r="U694" s="173"/>
      <c r="V694" s="157"/>
      <c r="W694" s="157"/>
      <c r="X694" s="87"/>
      <c r="Y694" s="87"/>
      <c r="Z694" s="87"/>
      <c r="AA694" s="87"/>
    </row>
    <row r="695" ht="12" customHeight="1" spans="1:27">
      <c r="A695" s="87"/>
      <c r="B695" s="87"/>
      <c r="C695" s="87"/>
      <c r="D695" s="87"/>
      <c r="E695" s="203"/>
      <c r="F695" s="87"/>
      <c r="G695" s="204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155"/>
      <c r="S695" s="156"/>
      <c r="T695" s="157"/>
      <c r="U695" s="173"/>
      <c r="V695" s="157"/>
      <c r="W695" s="157"/>
      <c r="X695" s="87"/>
      <c r="Y695" s="87"/>
      <c r="Z695" s="87"/>
      <c r="AA695" s="87"/>
    </row>
    <row r="696" ht="12" customHeight="1" spans="1:27">
      <c r="A696" s="87"/>
      <c r="B696" s="87"/>
      <c r="C696" s="87"/>
      <c r="D696" s="87"/>
      <c r="E696" s="203"/>
      <c r="F696" s="87"/>
      <c r="G696" s="204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155"/>
      <c r="S696" s="156"/>
      <c r="T696" s="157"/>
      <c r="U696" s="173"/>
      <c r="V696" s="157"/>
      <c r="W696" s="157"/>
      <c r="X696" s="87"/>
      <c r="Y696" s="87"/>
      <c r="Z696" s="87"/>
      <c r="AA696" s="87"/>
    </row>
    <row r="697" ht="12" customHeight="1" spans="1:27">
      <c r="A697" s="87"/>
      <c r="B697" s="87"/>
      <c r="C697" s="87"/>
      <c r="D697" s="87"/>
      <c r="E697" s="203"/>
      <c r="F697" s="87"/>
      <c r="G697" s="204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155"/>
      <c r="S697" s="156"/>
      <c r="T697" s="157"/>
      <c r="U697" s="173"/>
      <c r="V697" s="157"/>
      <c r="W697" s="157"/>
      <c r="X697" s="87"/>
      <c r="Y697" s="87"/>
      <c r="Z697" s="87"/>
      <c r="AA697" s="87"/>
    </row>
    <row r="698" ht="12" customHeight="1" spans="1:27">
      <c r="A698" s="87"/>
      <c r="B698" s="87"/>
      <c r="C698" s="87"/>
      <c r="D698" s="87"/>
      <c r="E698" s="203"/>
      <c r="F698" s="87"/>
      <c r="G698" s="204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155"/>
      <c r="S698" s="156"/>
      <c r="T698" s="157"/>
      <c r="U698" s="173"/>
      <c r="V698" s="157"/>
      <c r="W698" s="157"/>
      <c r="X698" s="87"/>
      <c r="Y698" s="87"/>
      <c r="Z698" s="87"/>
      <c r="AA698" s="87"/>
    </row>
    <row r="699" ht="12" customHeight="1" spans="1:27">
      <c r="A699" s="87"/>
      <c r="B699" s="87"/>
      <c r="C699" s="87"/>
      <c r="D699" s="87"/>
      <c r="E699" s="203"/>
      <c r="F699" s="87"/>
      <c r="G699" s="204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155"/>
      <c r="S699" s="156"/>
      <c r="T699" s="157"/>
      <c r="U699" s="173"/>
      <c r="V699" s="157"/>
      <c r="W699" s="157"/>
      <c r="X699" s="87"/>
      <c r="Y699" s="87"/>
      <c r="Z699" s="87"/>
      <c r="AA699" s="87"/>
    </row>
    <row r="700" ht="12" customHeight="1" spans="1:27">
      <c r="A700" s="87"/>
      <c r="B700" s="87"/>
      <c r="C700" s="87"/>
      <c r="D700" s="87"/>
      <c r="E700" s="203"/>
      <c r="F700" s="87"/>
      <c r="G700" s="204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155"/>
      <c r="S700" s="156"/>
      <c r="T700" s="157"/>
      <c r="U700" s="173"/>
      <c r="V700" s="157"/>
      <c r="W700" s="157"/>
      <c r="X700" s="87"/>
      <c r="Y700" s="87"/>
      <c r="Z700" s="87"/>
      <c r="AA700" s="87"/>
    </row>
    <row r="701" ht="12" customHeight="1" spans="1:27">
      <c r="A701" s="87"/>
      <c r="B701" s="87"/>
      <c r="C701" s="87"/>
      <c r="D701" s="87"/>
      <c r="E701" s="203"/>
      <c r="F701" s="87"/>
      <c r="G701" s="204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155"/>
      <c r="S701" s="156"/>
      <c r="T701" s="157"/>
      <c r="U701" s="173"/>
      <c r="V701" s="157"/>
      <c r="W701" s="157"/>
      <c r="X701" s="87"/>
      <c r="Y701" s="87"/>
      <c r="Z701" s="87"/>
      <c r="AA701" s="87"/>
    </row>
    <row r="702" ht="12" customHeight="1" spans="1:27">
      <c r="A702" s="87"/>
      <c r="B702" s="87"/>
      <c r="C702" s="87"/>
      <c r="D702" s="87"/>
      <c r="E702" s="203"/>
      <c r="F702" s="87"/>
      <c r="G702" s="204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155"/>
      <c r="S702" s="156"/>
      <c r="T702" s="157"/>
      <c r="U702" s="173"/>
      <c r="V702" s="157"/>
      <c r="W702" s="157"/>
      <c r="X702" s="87"/>
      <c r="Y702" s="87"/>
      <c r="Z702" s="87"/>
      <c r="AA702" s="87"/>
    </row>
    <row r="703" ht="12" customHeight="1" spans="1:27">
      <c r="A703" s="87"/>
      <c r="B703" s="87"/>
      <c r="C703" s="87"/>
      <c r="D703" s="87"/>
      <c r="E703" s="203"/>
      <c r="F703" s="87"/>
      <c r="G703" s="204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155"/>
      <c r="S703" s="156"/>
      <c r="T703" s="157"/>
      <c r="U703" s="173"/>
      <c r="V703" s="157"/>
      <c r="W703" s="157"/>
      <c r="X703" s="87"/>
      <c r="Y703" s="87"/>
      <c r="Z703" s="87"/>
      <c r="AA703" s="87"/>
    </row>
    <row r="704" ht="12" customHeight="1" spans="1:27">
      <c r="A704" s="87"/>
      <c r="B704" s="87"/>
      <c r="C704" s="87"/>
      <c r="D704" s="87"/>
      <c r="E704" s="203"/>
      <c r="F704" s="87"/>
      <c r="G704" s="204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155"/>
      <c r="S704" s="156"/>
      <c r="T704" s="157"/>
      <c r="U704" s="173"/>
      <c r="V704" s="157"/>
      <c r="W704" s="157"/>
      <c r="X704" s="87"/>
      <c r="Y704" s="87"/>
      <c r="Z704" s="87"/>
      <c r="AA704" s="87"/>
    </row>
    <row r="705" ht="12" customHeight="1" spans="1:27">
      <c r="A705" s="87"/>
      <c r="B705" s="87"/>
      <c r="C705" s="87"/>
      <c r="D705" s="87"/>
      <c r="E705" s="203"/>
      <c r="F705" s="87"/>
      <c r="G705" s="204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155"/>
      <c r="S705" s="156"/>
      <c r="T705" s="157"/>
      <c r="U705" s="173"/>
      <c r="V705" s="157"/>
      <c r="W705" s="157"/>
      <c r="X705" s="87"/>
      <c r="Y705" s="87"/>
      <c r="Z705" s="87"/>
      <c r="AA705" s="87"/>
    </row>
    <row r="706" ht="12" customHeight="1" spans="1:27">
      <c r="A706" s="87"/>
      <c r="B706" s="87"/>
      <c r="C706" s="87"/>
      <c r="D706" s="87"/>
      <c r="E706" s="203"/>
      <c r="F706" s="87"/>
      <c r="G706" s="204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155"/>
      <c r="S706" s="156"/>
      <c r="T706" s="157"/>
      <c r="U706" s="173"/>
      <c r="V706" s="157"/>
      <c r="W706" s="157"/>
      <c r="X706" s="87"/>
      <c r="Y706" s="87"/>
      <c r="Z706" s="87"/>
      <c r="AA706" s="87"/>
    </row>
    <row r="707" ht="12" customHeight="1" spans="1:27">
      <c r="A707" s="87"/>
      <c r="B707" s="87"/>
      <c r="C707" s="87"/>
      <c r="D707" s="87"/>
      <c r="E707" s="203"/>
      <c r="F707" s="87"/>
      <c r="G707" s="204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155"/>
      <c r="S707" s="156"/>
      <c r="T707" s="157"/>
      <c r="U707" s="173"/>
      <c r="V707" s="157"/>
      <c r="W707" s="157"/>
      <c r="X707" s="87"/>
      <c r="Y707" s="87"/>
      <c r="Z707" s="87"/>
      <c r="AA707" s="87"/>
    </row>
    <row r="708" ht="12" customHeight="1" spans="1:27">
      <c r="A708" s="87"/>
      <c r="B708" s="87"/>
      <c r="C708" s="87"/>
      <c r="D708" s="87"/>
      <c r="E708" s="203"/>
      <c r="F708" s="87"/>
      <c r="G708" s="204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155"/>
      <c r="S708" s="156"/>
      <c r="T708" s="157"/>
      <c r="U708" s="173"/>
      <c r="V708" s="157"/>
      <c r="W708" s="157"/>
      <c r="X708" s="87"/>
      <c r="Y708" s="87"/>
      <c r="Z708" s="87"/>
      <c r="AA708" s="87"/>
    </row>
    <row r="709" ht="12" customHeight="1" spans="1:27">
      <c r="A709" s="87"/>
      <c r="B709" s="87"/>
      <c r="C709" s="87"/>
      <c r="D709" s="87"/>
      <c r="E709" s="203"/>
      <c r="F709" s="87"/>
      <c r="G709" s="204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155"/>
      <c r="S709" s="156"/>
      <c r="T709" s="157"/>
      <c r="U709" s="173"/>
      <c r="V709" s="157"/>
      <c r="W709" s="157"/>
      <c r="X709" s="87"/>
      <c r="Y709" s="87"/>
      <c r="Z709" s="87"/>
      <c r="AA709" s="87"/>
    </row>
    <row r="710" ht="12" customHeight="1" spans="1:27">
      <c r="A710" s="87"/>
      <c r="B710" s="87"/>
      <c r="C710" s="87"/>
      <c r="D710" s="87"/>
      <c r="E710" s="203"/>
      <c r="F710" s="87"/>
      <c r="G710" s="204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155"/>
      <c r="S710" s="156"/>
      <c r="T710" s="157"/>
      <c r="U710" s="173"/>
      <c r="V710" s="157"/>
      <c r="W710" s="157"/>
      <c r="X710" s="87"/>
      <c r="Y710" s="87"/>
      <c r="Z710" s="87"/>
      <c r="AA710" s="87"/>
    </row>
    <row r="711" ht="12" customHeight="1" spans="1:27">
      <c r="A711" s="87"/>
      <c r="B711" s="87"/>
      <c r="C711" s="87"/>
      <c r="D711" s="87"/>
      <c r="E711" s="203"/>
      <c r="F711" s="87"/>
      <c r="G711" s="204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155"/>
      <c r="S711" s="156"/>
      <c r="T711" s="157"/>
      <c r="U711" s="173"/>
      <c r="V711" s="157"/>
      <c r="W711" s="157"/>
      <c r="X711" s="87"/>
      <c r="Y711" s="87"/>
      <c r="Z711" s="87"/>
      <c r="AA711" s="87"/>
    </row>
    <row r="712" ht="12" customHeight="1" spans="1:27">
      <c r="A712" s="87"/>
      <c r="B712" s="87"/>
      <c r="C712" s="87"/>
      <c r="D712" s="87"/>
      <c r="E712" s="203"/>
      <c r="F712" s="87"/>
      <c r="G712" s="204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155"/>
      <c r="S712" s="156"/>
      <c r="T712" s="157"/>
      <c r="U712" s="173"/>
      <c r="V712" s="157"/>
      <c r="W712" s="157"/>
      <c r="X712" s="87"/>
      <c r="Y712" s="87"/>
      <c r="Z712" s="87"/>
      <c r="AA712" s="87"/>
    </row>
    <row r="713" ht="12" customHeight="1" spans="1:27">
      <c r="A713" s="87"/>
      <c r="B713" s="87"/>
      <c r="C713" s="87"/>
      <c r="D713" s="87"/>
      <c r="E713" s="203"/>
      <c r="F713" s="87"/>
      <c r="G713" s="204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155"/>
      <c r="S713" s="156"/>
      <c r="T713" s="157"/>
      <c r="U713" s="173"/>
      <c r="V713" s="157"/>
      <c r="W713" s="157"/>
      <c r="X713" s="87"/>
      <c r="Y713" s="87"/>
      <c r="Z713" s="87"/>
      <c r="AA713" s="87"/>
    </row>
    <row r="714" ht="12" customHeight="1" spans="1:27">
      <c r="A714" s="87"/>
      <c r="B714" s="87"/>
      <c r="C714" s="87"/>
      <c r="D714" s="87"/>
      <c r="E714" s="203"/>
      <c r="F714" s="87"/>
      <c r="G714" s="204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155"/>
      <c r="S714" s="156"/>
      <c r="T714" s="157"/>
      <c r="U714" s="173"/>
      <c r="V714" s="157"/>
      <c r="W714" s="157"/>
      <c r="X714" s="87"/>
      <c r="Y714" s="87"/>
      <c r="Z714" s="87"/>
      <c r="AA714" s="87"/>
    </row>
    <row r="715" ht="12" customHeight="1" spans="1:27">
      <c r="A715" s="87"/>
      <c r="B715" s="87"/>
      <c r="C715" s="87"/>
      <c r="D715" s="87"/>
      <c r="E715" s="203"/>
      <c r="F715" s="87"/>
      <c r="G715" s="204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155"/>
      <c r="S715" s="156"/>
      <c r="T715" s="157"/>
      <c r="U715" s="173"/>
      <c r="V715" s="157"/>
      <c r="W715" s="157"/>
      <c r="X715" s="87"/>
      <c r="Y715" s="87"/>
      <c r="Z715" s="87"/>
      <c r="AA715" s="87"/>
    </row>
    <row r="716" ht="12" customHeight="1" spans="1:27">
      <c r="A716" s="87"/>
      <c r="B716" s="87"/>
      <c r="C716" s="87"/>
      <c r="D716" s="87"/>
      <c r="E716" s="203"/>
      <c r="F716" s="87"/>
      <c r="G716" s="204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155"/>
      <c r="S716" s="156"/>
      <c r="T716" s="157"/>
      <c r="U716" s="173"/>
      <c r="V716" s="157"/>
      <c r="W716" s="157"/>
      <c r="X716" s="87"/>
      <c r="Y716" s="87"/>
      <c r="Z716" s="87"/>
      <c r="AA716" s="87"/>
    </row>
    <row r="717" ht="12" customHeight="1" spans="1:27">
      <c r="A717" s="87"/>
      <c r="B717" s="87"/>
      <c r="C717" s="87"/>
      <c r="D717" s="87"/>
      <c r="E717" s="203"/>
      <c r="F717" s="87"/>
      <c r="G717" s="204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155"/>
      <c r="S717" s="156"/>
      <c r="T717" s="157"/>
      <c r="U717" s="173"/>
      <c r="V717" s="157"/>
      <c r="W717" s="157"/>
      <c r="X717" s="87"/>
      <c r="Y717" s="87"/>
      <c r="Z717" s="87"/>
      <c r="AA717" s="87"/>
    </row>
    <row r="718" ht="12" customHeight="1" spans="1:27">
      <c r="A718" s="87"/>
      <c r="B718" s="87"/>
      <c r="C718" s="87"/>
      <c r="D718" s="87"/>
      <c r="E718" s="203"/>
      <c r="F718" s="87"/>
      <c r="G718" s="204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155"/>
      <c r="S718" s="156"/>
      <c r="T718" s="157"/>
      <c r="U718" s="173"/>
      <c r="V718" s="157"/>
      <c r="W718" s="157"/>
      <c r="X718" s="87"/>
      <c r="Y718" s="87"/>
      <c r="Z718" s="87"/>
      <c r="AA718" s="87"/>
    </row>
    <row r="719" ht="12" customHeight="1" spans="1:27">
      <c r="A719" s="87"/>
      <c r="B719" s="87"/>
      <c r="C719" s="87"/>
      <c r="D719" s="87"/>
      <c r="E719" s="203"/>
      <c r="F719" s="87"/>
      <c r="G719" s="204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155"/>
      <c r="S719" s="156"/>
      <c r="T719" s="157"/>
      <c r="U719" s="173"/>
      <c r="V719" s="157"/>
      <c r="W719" s="157"/>
      <c r="X719" s="87"/>
      <c r="Y719" s="87"/>
      <c r="Z719" s="87"/>
      <c r="AA719" s="87"/>
    </row>
    <row r="720" ht="12" customHeight="1" spans="1:27">
      <c r="A720" s="87"/>
      <c r="B720" s="87"/>
      <c r="C720" s="87"/>
      <c r="D720" s="87"/>
      <c r="E720" s="203"/>
      <c r="F720" s="87"/>
      <c r="G720" s="204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155"/>
      <c r="S720" s="156"/>
      <c r="T720" s="157"/>
      <c r="U720" s="173"/>
      <c r="V720" s="157"/>
      <c r="W720" s="157"/>
      <c r="X720" s="87"/>
      <c r="Y720" s="87"/>
      <c r="Z720" s="87"/>
      <c r="AA720" s="87"/>
    </row>
    <row r="721" ht="12" customHeight="1" spans="1:27">
      <c r="A721" s="87"/>
      <c r="B721" s="87"/>
      <c r="C721" s="87"/>
      <c r="D721" s="87"/>
      <c r="E721" s="203"/>
      <c r="F721" s="87"/>
      <c r="G721" s="204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155"/>
      <c r="S721" s="156"/>
      <c r="T721" s="157"/>
      <c r="U721" s="173"/>
      <c r="V721" s="157"/>
      <c r="W721" s="157"/>
      <c r="X721" s="87"/>
      <c r="Y721" s="87"/>
      <c r="Z721" s="87"/>
      <c r="AA721" s="87"/>
    </row>
    <row r="722" ht="12" customHeight="1" spans="1:27">
      <c r="A722" s="87"/>
      <c r="B722" s="87"/>
      <c r="C722" s="87"/>
      <c r="D722" s="87"/>
      <c r="E722" s="203"/>
      <c r="F722" s="87"/>
      <c r="G722" s="204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155"/>
      <c r="S722" s="156"/>
      <c r="T722" s="157"/>
      <c r="U722" s="173"/>
      <c r="V722" s="157"/>
      <c r="W722" s="157"/>
      <c r="X722" s="87"/>
      <c r="Y722" s="87"/>
      <c r="Z722" s="87"/>
      <c r="AA722" s="87"/>
    </row>
    <row r="723" ht="12" customHeight="1" spans="1:27">
      <c r="A723" s="87"/>
      <c r="B723" s="87"/>
      <c r="C723" s="87"/>
      <c r="D723" s="87"/>
      <c r="E723" s="203"/>
      <c r="F723" s="87"/>
      <c r="G723" s="204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155"/>
      <c r="S723" s="156"/>
      <c r="T723" s="157"/>
      <c r="U723" s="173"/>
      <c r="V723" s="157"/>
      <c r="W723" s="157"/>
      <c r="X723" s="87"/>
      <c r="Y723" s="87"/>
      <c r="Z723" s="87"/>
      <c r="AA723" s="87"/>
    </row>
    <row r="724" ht="12" customHeight="1" spans="1:27">
      <c r="A724" s="87"/>
      <c r="B724" s="87"/>
      <c r="C724" s="87"/>
      <c r="D724" s="87"/>
      <c r="E724" s="203"/>
      <c r="F724" s="87"/>
      <c r="G724" s="204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155"/>
      <c r="S724" s="156"/>
      <c r="T724" s="157"/>
      <c r="U724" s="173"/>
      <c r="V724" s="157"/>
      <c r="W724" s="157"/>
      <c r="X724" s="87"/>
      <c r="Y724" s="87"/>
      <c r="Z724" s="87"/>
      <c r="AA724" s="87"/>
    </row>
    <row r="725" ht="12" customHeight="1" spans="1:27">
      <c r="A725" s="87"/>
      <c r="B725" s="87"/>
      <c r="C725" s="87"/>
      <c r="D725" s="87"/>
      <c r="E725" s="203"/>
      <c r="F725" s="87"/>
      <c r="G725" s="204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155"/>
      <c r="S725" s="156"/>
      <c r="T725" s="157"/>
      <c r="U725" s="173"/>
      <c r="V725" s="157"/>
      <c r="W725" s="157"/>
      <c r="X725" s="87"/>
      <c r="Y725" s="87"/>
      <c r="Z725" s="87"/>
      <c r="AA725" s="87"/>
    </row>
    <row r="726" ht="12" customHeight="1" spans="1:27">
      <c r="A726" s="87"/>
      <c r="B726" s="87"/>
      <c r="C726" s="87"/>
      <c r="D726" s="87"/>
      <c r="E726" s="203"/>
      <c r="F726" s="87"/>
      <c r="G726" s="204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155"/>
      <c r="S726" s="156"/>
      <c r="T726" s="157"/>
      <c r="U726" s="173"/>
      <c r="V726" s="157"/>
      <c r="W726" s="157"/>
      <c r="X726" s="87"/>
      <c r="Y726" s="87"/>
      <c r="Z726" s="87"/>
      <c r="AA726" s="87"/>
    </row>
    <row r="727" ht="12" customHeight="1" spans="1:27">
      <c r="A727" s="87"/>
      <c r="B727" s="87"/>
      <c r="C727" s="87"/>
      <c r="D727" s="87"/>
      <c r="E727" s="203"/>
      <c r="F727" s="87"/>
      <c r="G727" s="204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155"/>
      <c r="S727" s="156"/>
      <c r="T727" s="157"/>
      <c r="U727" s="173"/>
      <c r="V727" s="157"/>
      <c r="W727" s="157"/>
      <c r="X727" s="87"/>
      <c r="Y727" s="87"/>
      <c r="Z727" s="87"/>
      <c r="AA727" s="87"/>
    </row>
    <row r="728" ht="12" customHeight="1" spans="1:27">
      <c r="A728" s="87"/>
      <c r="B728" s="87"/>
      <c r="C728" s="87"/>
      <c r="D728" s="87"/>
      <c r="E728" s="203"/>
      <c r="F728" s="87"/>
      <c r="G728" s="204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155"/>
      <c r="S728" s="156"/>
      <c r="T728" s="157"/>
      <c r="U728" s="173"/>
      <c r="V728" s="157"/>
      <c r="W728" s="157"/>
      <c r="X728" s="87"/>
      <c r="Y728" s="87"/>
      <c r="Z728" s="87"/>
      <c r="AA728" s="87"/>
    </row>
    <row r="729" ht="12" customHeight="1" spans="1:27">
      <c r="A729" s="87"/>
      <c r="B729" s="87"/>
      <c r="C729" s="87"/>
      <c r="D729" s="87"/>
      <c r="E729" s="203"/>
      <c r="F729" s="87"/>
      <c r="G729" s="204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155"/>
      <c r="S729" s="156"/>
      <c r="T729" s="157"/>
      <c r="U729" s="173"/>
      <c r="V729" s="157"/>
      <c r="W729" s="157"/>
      <c r="X729" s="87"/>
      <c r="Y729" s="87"/>
      <c r="Z729" s="87"/>
      <c r="AA729" s="87"/>
    </row>
    <row r="730" ht="12" customHeight="1" spans="1:27">
      <c r="A730" s="87"/>
      <c r="B730" s="87"/>
      <c r="C730" s="87"/>
      <c r="D730" s="87"/>
      <c r="E730" s="203"/>
      <c r="F730" s="87"/>
      <c r="G730" s="204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155"/>
      <c r="S730" s="156"/>
      <c r="T730" s="157"/>
      <c r="U730" s="173"/>
      <c r="V730" s="157"/>
      <c r="W730" s="157"/>
      <c r="X730" s="87"/>
      <c r="Y730" s="87"/>
      <c r="Z730" s="87"/>
      <c r="AA730" s="87"/>
    </row>
    <row r="731" ht="12" customHeight="1" spans="1:27">
      <c r="A731" s="87"/>
      <c r="B731" s="87"/>
      <c r="C731" s="87"/>
      <c r="D731" s="87"/>
      <c r="E731" s="203"/>
      <c r="F731" s="87"/>
      <c r="G731" s="204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155"/>
      <c r="S731" s="156"/>
      <c r="T731" s="157"/>
      <c r="U731" s="173"/>
      <c r="V731" s="157"/>
      <c r="W731" s="157"/>
      <c r="X731" s="87"/>
      <c r="Y731" s="87"/>
      <c r="Z731" s="87"/>
      <c r="AA731" s="87"/>
    </row>
    <row r="732" ht="12" customHeight="1" spans="1:27">
      <c r="A732" s="87"/>
      <c r="B732" s="87"/>
      <c r="C732" s="87"/>
      <c r="D732" s="87"/>
      <c r="E732" s="203"/>
      <c r="F732" s="87"/>
      <c r="G732" s="204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155"/>
      <c r="S732" s="156"/>
      <c r="T732" s="157"/>
      <c r="U732" s="173"/>
      <c r="V732" s="157"/>
      <c r="W732" s="157"/>
      <c r="X732" s="87"/>
      <c r="Y732" s="87"/>
      <c r="Z732" s="87"/>
      <c r="AA732" s="87"/>
    </row>
    <row r="733" ht="12" customHeight="1" spans="1:27">
      <c r="A733" s="87"/>
      <c r="B733" s="87"/>
      <c r="C733" s="87"/>
      <c r="D733" s="87"/>
      <c r="E733" s="203"/>
      <c r="F733" s="87"/>
      <c r="G733" s="204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155"/>
      <c r="S733" s="156"/>
      <c r="T733" s="157"/>
      <c r="U733" s="173"/>
      <c r="V733" s="157"/>
      <c r="W733" s="157"/>
      <c r="X733" s="87"/>
      <c r="Y733" s="87"/>
      <c r="Z733" s="87"/>
      <c r="AA733" s="87"/>
    </row>
    <row r="734" ht="12" customHeight="1" spans="1:27">
      <c r="A734" s="87"/>
      <c r="B734" s="87"/>
      <c r="C734" s="87"/>
      <c r="D734" s="87"/>
      <c r="E734" s="203"/>
      <c r="F734" s="87"/>
      <c r="G734" s="204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155"/>
      <c r="S734" s="156"/>
      <c r="T734" s="157"/>
      <c r="U734" s="173"/>
      <c r="V734" s="157"/>
      <c r="W734" s="157"/>
      <c r="X734" s="87"/>
      <c r="Y734" s="87"/>
      <c r="Z734" s="87"/>
      <c r="AA734" s="87"/>
    </row>
    <row r="735" ht="12" customHeight="1" spans="1:27">
      <c r="A735" s="87"/>
      <c r="B735" s="87"/>
      <c r="C735" s="87"/>
      <c r="D735" s="87"/>
      <c r="E735" s="203"/>
      <c r="F735" s="87"/>
      <c r="G735" s="204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155"/>
      <c r="S735" s="156"/>
      <c r="T735" s="157"/>
      <c r="U735" s="173"/>
      <c r="V735" s="157"/>
      <c r="W735" s="157"/>
      <c r="X735" s="87"/>
      <c r="Y735" s="87"/>
      <c r="Z735" s="87"/>
      <c r="AA735" s="87"/>
    </row>
    <row r="736" ht="12" customHeight="1" spans="1:27">
      <c r="A736" s="87"/>
      <c r="B736" s="87"/>
      <c r="C736" s="87"/>
      <c r="D736" s="87"/>
      <c r="E736" s="203"/>
      <c r="F736" s="87"/>
      <c r="G736" s="204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155"/>
      <c r="S736" s="156"/>
      <c r="T736" s="157"/>
      <c r="U736" s="173"/>
      <c r="V736" s="157"/>
      <c r="W736" s="157"/>
      <c r="X736" s="87"/>
      <c r="Y736" s="87"/>
      <c r="Z736" s="87"/>
      <c r="AA736" s="87"/>
    </row>
    <row r="737" ht="12" customHeight="1" spans="1:27">
      <c r="A737" s="87"/>
      <c r="B737" s="87"/>
      <c r="C737" s="87"/>
      <c r="D737" s="87"/>
      <c r="E737" s="203"/>
      <c r="F737" s="87"/>
      <c r="G737" s="204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155"/>
      <c r="S737" s="156"/>
      <c r="T737" s="157"/>
      <c r="U737" s="173"/>
      <c r="V737" s="157"/>
      <c r="W737" s="157"/>
      <c r="X737" s="87"/>
      <c r="Y737" s="87"/>
      <c r="Z737" s="87"/>
      <c r="AA737" s="87"/>
    </row>
    <row r="738" ht="12" customHeight="1" spans="1:27">
      <c r="A738" s="87"/>
      <c r="B738" s="87"/>
      <c r="C738" s="87"/>
      <c r="D738" s="87"/>
      <c r="E738" s="203"/>
      <c r="F738" s="87"/>
      <c r="G738" s="204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155"/>
      <c r="S738" s="156"/>
      <c r="T738" s="157"/>
      <c r="U738" s="173"/>
      <c r="V738" s="157"/>
      <c r="W738" s="157"/>
      <c r="X738" s="87"/>
      <c r="Y738" s="87"/>
      <c r="Z738" s="87"/>
      <c r="AA738" s="87"/>
    </row>
    <row r="739" ht="12" customHeight="1" spans="1:27">
      <c r="A739" s="87"/>
      <c r="B739" s="87"/>
      <c r="C739" s="87"/>
      <c r="D739" s="87"/>
      <c r="E739" s="203"/>
      <c r="F739" s="87"/>
      <c r="G739" s="204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155"/>
      <c r="S739" s="156"/>
      <c r="T739" s="157"/>
      <c r="U739" s="173"/>
      <c r="V739" s="157"/>
      <c r="W739" s="157"/>
      <c r="X739" s="87"/>
      <c r="Y739" s="87"/>
      <c r="Z739" s="87"/>
      <c r="AA739" s="87"/>
    </row>
    <row r="740" ht="12" customHeight="1" spans="1:27">
      <c r="A740" s="87"/>
      <c r="B740" s="87"/>
      <c r="C740" s="87"/>
      <c r="D740" s="87"/>
      <c r="E740" s="203"/>
      <c r="F740" s="87"/>
      <c r="G740" s="204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155"/>
      <c r="S740" s="156"/>
      <c r="T740" s="157"/>
      <c r="U740" s="173"/>
      <c r="V740" s="157"/>
      <c r="W740" s="157"/>
      <c r="X740" s="87"/>
      <c r="Y740" s="87"/>
      <c r="Z740" s="87"/>
      <c r="AA740" s="87"/>
    </row>
    <row r="741" ht="12" customHeight="1" spans="1:27">
      <c r="A741" s="87"/>
      <c r="B741" s="87"/>
      <c r="C741" s="87"/>
      <c r="D741" s="87"/>
      <c r="E741" s="203"/>
      <c r="F741" s="87"/>
      <c r="G741" s="204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155"/>
      <c r="S741" s="156"/>
      <c r="T741" s="157"/>
      <c r="U741" s="173"/>
      <c r="V741" s="157"/>
      <c r="W741" s="157"/>
      <c r="X741" s="87"/>
      <c r="Y741" s="87"/>
      <c r="Z741" s="87"/>
      <c r="AA741" s="87"/>
    </row>
    <row r="742" ht="12" customHeight="1" spans="1:27">
      <c r="A742" s="87"/>
      <c r="B742" s="87"/>
      <c r="C742" s="87"/>
      <c r="D742" s="87"/>
      <c r="E742" s="203"/>
      <c r="F742" s="87"/>
      <c r="G742" s="204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155"/>
      <c r="S742" s="156"/>
      <c r="T742" s="157"/>
      <c r="U742" s="173"/>
      <c r="V742" s="157"/>
      <c r="W742" s="157"/>
      <c r="X742" s="87"/>
      <c r="Y742" s="87"/>
      <c r="Z742" s="87"/>
      <c r="AA742" s="87"/>
    </row>
    <row r="743" ht="12" customHeight="1" spans="1:27">
      <c r="A743" s="87"/>
      <c r="B743" s="87"/>
      <c r="C743" s="87"/>
      <c r="D743" s="87"/>
      <c r="E743" s="203"/>
      <c r="F743" s="87"/>
      <c r="G743" s="204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155"/>
      <c r="S743" s="156"/>
      <c r="T743" s="157"/>
      <c r="U743" s="173"/>
      <c r="V743" s="157"/>
      <c r="W743" s="157"/>
      <c r="X743" s="87"/>
      <c r="Y743" s="87"/>
      <c r="Z743" s="87"/>
      <c r="AA743" s="87"/>
    </row>
    <row r="744" ht="12" customHeight="1" spans="1:27">
      <c r="A744" s="87"/>
      <c r="B744" s="87"/>
      <c r="C744" s="87"/>
      <c r="D744" s="87"/>
      <c r="E744" s="203"/>
      <c r="F744" s="87"/>
      <c r="G744" s="204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155"/>
      <c r="S744" s="156"/>
      <c r="T744" s="157"/>
      <c r="U744" s="173"/>
      <c r="V744" s="157"/>
      <c r="W744" s="157"/>
      <c r="X744" s="87"/>
      <c r="Y744" s="87"/>
      <c r="Z744" s="87"/>
      <c r="AA744" s="87"/>
    </row>
    <row r="745" ht="12" customHeight="1" spans="1:27">
      <c r="A745" s="87"/>
      <c r="B745" s="87"/>
      <c r="C745" s="87"/>
      <c r="D745" s="87"/>
      <c r="E745" s="203"/>
      <c r="F745" s="87"/>
      <c r="G745" s="204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155"/>
      <c r="S745" s="156"/>
      <c r="T745" s="157"/>
      <c r="U745" s="173"/>
      <c r="V745" s="157"/>
      <c r="W745" s="157"/>
      <c r="X745" s="87"/>
      <c r="Y745" s="87"/>
      <c r="Z745" s="87"/>
      <c r="AA745" s="87"/>
    </row>
    <row r="746" ht="12" customHeight="1" spans="1:27">
      <c r="A746" s="87"/>
      <c r="B746" s="87"/>
      <c r="C746" s="87"/>
      <c r="D746" s="87"/>
      <c r="E746" s="203"/>
      <c r="F746" s="87"/>
      <c r="G746" s="204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155"/>
      <c r="S746" s="156"/>
      <c r="T746" s="157"/>
      <c r="U746" s="173"/>
      <c r="V746" s="157"/>
      <c r="W746" s="157"/>
      <c r="X746" s="87"/>
      <c r="Y746" s="87"/>
      <c r="Z746" s="87"/>
      <c r="AA746" s="87"/>
    </row>
    <row r="747" ht="12" customHeight="1" spans="1:27">
      <c r="A747" s="87"/>
      <c r="B747" s="87"/>
      <c r="C747" s="87"/>
      <c r="D747" s="87"/>
      <c r="E747" s="203"/>
      <c r="F747" s="87"/>
      <c r="G747" s="204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155"/>
      <c r="S747" s="156"/>
      <c r="T747" s="157"/>
      <c r="U747" s="173"/>
      <c r="V747" s="157"/>
      <c r="W747" s="157"/>
      <c r="X747" s="87"/>
      <c r="Y747" s="87"/>
      <c r="Z747" s="87"/>
      <c r="AA747" s="87"/>
    </row>
    <row r="748" ht="12" customHeight="1" spans="1:27">
      <c r="A748" s="87"/>
      <c r="B748" s="87"/>
      <c r="C748" s="87"/>
      <c r="D748" s="87"/>
      <c r="E748" s="203"/>
      <c r="F748" s="87"/>
      <c r="G748" s="204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155"/>
      <c r="S748" s="156"/>
      <c r="T748" s="157"/>
      <c r="U748" s="173"/>
      <c r="V748" s="157"/>
      <c r="W748" s="157"/>
      <c r="X748" s="87"/>
      <c r="Y748" s="87"/>
      <c r="Z748" s="87"/>
      <c r="AA748" s="87"/>
    </row>
    <row r="749" ht="12" customHeight="1" spans="1:27">
      <c r="A749" s="87"/>
      <c r="B749" s="87"/>
      <c r="C749" s="87"/>
      <c r="D749" s="87"/>
      <c r="E749" s="203"/>
      <c r="F749" s="87"/>
      <c r="G749" s="204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155"/>
      <c r="S749" s="156"/>
      <c r="T749" s="157"/>
      <c r="U749" s="173"/>
      <c r="V749" s="157"/>
      <c r="W749" s="157"/>
      <c r="X749" s="87"/>
      <c r="Y749" s="87"/>
      <c r="Z749" s="87"/>
      <c r="AA749" s="87"/>
    </row>
    <row r="750" ht="12" customHeight="1" spans="1:27">
      <c r="A750" s="87"/>
      <c r="B750" s="87"/>
      <c r="C750" s="87"/>
      <c r="D750" s="87"/>
      <c r="E750" s="203"/>
      <c r="F750" s="87"/>
      <c r="G750" s="204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155"/>
      <c r="S750" s="156"/>
      <c r="T750" s="157"/>
      <c r="U750" s="173"/>
      <c r="V750" s="157"/>
      <c r="W750" s="157"/>
      <c r="X750" s="87"/>
      <c r="Y750" s="87"/>
      <c r="Z750" s="87"/>
      <c r="AA750" s="87"/>
    </row>
    <row r="751" ht="12" customHeight="1" spans="1:27">
      <c r="A751" s="87"/>
      <c r="B751" s="87"/>
      <c r="C751" s="87"/>
      <c r="D751" s="87"/>
      <c r="E751" s="203"/>
      <c r="F751" s="87"/>
      <c r="G751" s="204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155"/>
      <c r="S751" s="156"/>
      <c r="T751" s="157"/>
      <c r="U751" s="173"/>
      <c r="V751" s="157"/>
      <c r="W751" s="157"/>
      <c r="X751" s="87"/>
      <c r="Y751" s="87"/>
      <c r="Z751" s="87"/>
      <c r="AA751" s="87"/>
    </row>
    <row r="752" ht="12" customHeight="1" spans="1:27">
      <c r="A752" s="87"/>
      <c r="B752" s="87"/>
      <c r="C752" s="87"/>
      <c r="D752" s="87"/>
      <c r="E752" s="203"/>
      <c r="F752" s="87"/>
      <c r="G752" s="204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155"/>
      <c r="S752" s="156"/>
      <c r="T752" s="157"/>
      <c r="U752" s="173"/>
      <c r="V752" s="157"/>
      <c r="W752" s="157"/>
      <c r="X752" s="87"/>
      <c r="Y752" s="87"/>
      <c r="Z752" s="87"/>
      <c r="AA752" s="87"/>
    </row>
    <row r="753" ht="12" customHeight="1" spans="1:27">
      <c r="A753" s="87"/>
      <c r="B753" s="87"/>
      <c r="C753" s="87"/>
      <c r="D753" s="87"/>
      <c r="E753" s="203"/>
      <c r="F753" s="87"/>
      <c r="G753" s="204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155"/>
      <c r="S753" s="156"/>
      <c r="T753" s="157"/>
      <c r="U753" s="173"/>
      <c r="V753" s="157"/>
      <c r="W753" s="157"/>
      <c r="X753" s="87"/>
      <c r="Y753" s="87"/>
      <c r="Z753" s="87"/>
      <c r="AA753" s="87"/>
    </row>
    <row r="754" ht="12" customHeight="1" spans="1:27">
      <c r="A754" s="87"/>
      <c r="B754" s="87"/>
      <c r="C754" s="87"/>
      <c r="D754" s="87"/>
      <c r="E754" s="203"/>
      <c r="F754" s="87"/>
      <c r="G754" s="204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155"/>
      <c r="S754" s="156"/>
      <c r="T754" s="157"/>
      <c r="U754" s="173"/>
      <c r="V754" s="157"/>
      <c r="W754" s="157"/>
      <c r="X754" s="87"/>
      <c r="Y754" s="87"/>
      <c r="Z754" s="87"/>
      <c r="AA754" s="87"/>
    </row>
    <row r="755" ht="12" customHeight="1" spans="1:27">
      <c r="A755" s="87"/>
      <c r="B755" s="87"/>
      <c r="C755" s="87"/>
      <c r="D755" s="87"/>
      <c r="E755" s="203"/>
      <c r="F755" s="87"/>
      <c r="G755" s="204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155"/>
      <c r="S755" s="156"/>
      <c r="T755" s="157"/>
      <c r="U755" s="173"/>
      <c r="V755" s="157"/>
      <c r="W755" s="157"/>
      <c r="X755" s="87"/>
      <c r="Y755" s="87"/>
      <c r="Z755" s="87"/>
      <c r="AA755" s="87"/>
    </row>
    <row r="756" ht="12" customHeight="1" spans="1:27">
      <c r="A756" s="87"/>
      <c r="B756" s="87"/>
      <c r="C756" s="87"/>
      <c r="D756" s="87"/>
      <c r="E756" s="203"/>
      <c r="F756" s="87"/>
      <c r="G756" s="204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155"/>
      <c r="S756" s="156"/>
      <c r="T756" s="157"/>
      <c r="U756" s="173"/>
      <c r="V756" s="157"/>
      <c r="W756" s="157"/>
      <c r="X756" s="87"/>
      <c r="Y756" s="87"/>
      <c r="Z756" s="87"/>
      <c r="AA756" s="87"/>
    </row>
    <row r="757" ht="12" customHeight="1" spans="1:27">
      <c r="A757" s="87"/>
      <c r="B757" s="87"/>
      <c r="C757" s="87"/>
      <c r="D757" s="87"/>
      <c r="E757" s="203"/>
      <c r="F757" s="87"/>
      <c r="G757" s="204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155"/>
      <c r="S757" s="156"/>
      <c r="T757" s="157"/>
      <c r="U757" s="173"/>
      <c r="V757" s="157"/>
      <c r="W757" s="157"/>
      <c r="X757" s="87"/>
      <c r="Y757" s="87"/>
      <c r="Z757" s="87"/>
      <c r="AA757" s="87"/>
    </row>
    <row r="758" ht="12" customHeight="1" spans="1:27">
      <c r="A758" s="87"/>
      <c r="B758" s="87"/>
      <c r="C758" s="87"/>
      <c r="D758" s="87"/>
      <c r="E758" s="203"/>
      <c r="F758" s="87"/>
      <c r="G758" s="204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155"/>
      <c r="S758" s="156"/>
      <c r="T758" s="157"/>
      <c r="U758" s="173"/>
      <c r="V758" s="157"/>
      <c r="W758" s="157"/>
      <c r="X758" s="87"/>
      <c r="Y758" s="87"/>
      <c r="Z758" s="87"/>
      <c r="AA758" s="87"/>
    </row>
    <row r="759" ht="12" customHeight="1" spans="1:27">
      <c r="A759" s="87"/>
      <c r="B759" s="87"/>
      <c r="C759" s="87"/>
      <c r="D759" s="87"/>
      <c r="E759" s="203"/>
      <c r="F759" s="87"/>
      <c r="G759" s="204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155"/>
      <c r="S759" s="156"/>
      <c r="T759" s="157"/>
      <c r="U759" s="173"/>
      <c r="V759" s="157"/>
      <c r="W759" s="157"/>
      <c r="X759" s="87"/>
      <c r="Y759" s="87"/>
      <c r="Z759" s="87"/>
      <c r="AA759" s="87"/>
    </row>
    <row r="760" ht="12" customHeight="1" spans="1:27">
      <c r="A760" s="87"/>
      <c r="B760" s="87"/>
      <c r="C760" s="87"/>
      <c r="D760" s="87"/>
      <c r="E760" s="203"/>
      <c r="F760" s="87"/>
      <c r="G760" s="204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155"/>
      <c r="S760" s="156"/>
      <c r="T760" s="157"/>
      <c r="U760" s="173"/>
      <c r="V760" s="157"/>
      <c r="W760" s="157"/>
      <c r="X760" s="87"/>
      <c r="Y760" s="87"/>
      <c r="Z760" s="87"/>
      <c r="AA760" s="87"/>
    </row>
    <row r="761" ht="12" customHeight="1" spans="1:27">
      <c r="A761" s="87"/>
      <c r="B761" s="87"/>
      <c r="C761" s="87"/>
      <c r="D761" s="87"/>
      <c r="E761" s="203"/>
      <c r="F761" s="87"/>
      <c r="G761" s="204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155"/>
      <c r="S761" s="156"/>
      <c r="T761" s="157"/>
      <c r="U761" s="173"/>
      <c r="V761" s="157"/>
      <c r="W761" s="157"/>
      <c r="X761" s="87"/>
      <c r="Y761" s="87"/>
      <c r="Z761" s="87"/>
      <c r="AA761" s="87"/>
    </row>
    <row r="762" ht="12" customHeight="1" spans="1:27">
      <c r="A762" s="87"/>
      <c r="B762" s="87"/>
      <c r="C762" s="87"/>
      <c r="D762" s="87"/>
      <c r="E762" s="203"/>
      <c r="F762" s="87"/>
      <c r="G762" s="204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155"/>
      <c r="S762" s="156"/>
      <c r="T762" s="157"/>
      <c r="U762" s="173"/>
      <c r="V762" s="157"/>
      <c r="W762" s="157"/>
      <c r="X762" s="87"/>
      <c r="Y762" s="87"/>
      <c r="Z762" s="87"/>
      <c r="AA762" s="87"/>
    </row>
    <row r="763" ht="12" customHeight="1" spans="1:27">
      <c r="A763" s="87"/>
      <c r="B763" s="87"/>
      <c r="C763" s="87"/>
      <c r="D763" s="87"/>
      <c r="E763" s="203"/>
      <c r="F763" s="87"/>
      <c r="G763" s="204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155"/>
      <c r="S763" s="156"/>
      <c r="T763" s="157"/>
      <c r="U763" s="173"/>
      <c r="V763" s="157"/>
      <c r="W763" s="157"/>
      <c r="X763" s="87"/>
      <c r="Y763" s="87"/>
      <c r="Z763" s="87"/>
      <c r="AA763" s="87"/>
    </row>
    <row r="764" ht="12" customHeight="1" spans="1:27">
      <c r="A764" s="87"/>
      <c r="B764" s="87"/>
      <c r="C764" s="87"/>
      <c r="D764" s="87"/>
      <c r="E764" s="203"/>
      <c r="F764" s="87"/>
      <c r="G764" s="204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155"/>
      <c r="S764" s="156"/>
      <c r="T764" s="157"/>
      <c r="U764" s="173"/>
      <c r="V764" s="157"/>
      <c r="W764" s="157"/>
      <c r="X764" s="87"/>
      <c r="Y764" s="87"/>
      <c r="Z764" s="87"/>
      <c r="AA764" s="87"/>
    </row>
    <row r="765" ht="12" customHeight="1" spans="1:27">
      <c r="A765" s="87"/>
      <c r="B765" s="87"/>
      <c r="C765" s="87"/>
      <c r="D765" s="87"/>
      <c r="E765" s="203"/>
      <c r="F765" s="87"/>
      <c r="G765" s="204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155"/>
      <c r="S765" s="156"/>
      <c r="T765" s="157"/>
      <c r="U765" s="173"/>
      <c r="V765" s="157"/>
      <c r="W765" s="157"/>
      <c r="X765" s="87"/>
      <c r="Y765" s="87"/>
      <c r="Z765" s="87"/>
      <c r="AA765" s="87"/>
    </row>
    <row r="766" ht="12" customHeight="1" spans="1:27">
      <c r="A766" s="87"/>
      <c r="B766" s="87"/>
      <c r="C766" s="87"/>
      <c r="D766" s="87"/>
      <c r="E766" s="203"/>
      <c r="F766" s="87"/>
      <c r="G766" s="204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155"/>
      <c r="S766" s="156"/>
      <c r="T766" s="157"/>
      <c r="U766" s="173"/>
      <c r="V766" s="157"/>
      <c r="W766" s="157"/>
      <c r="X766" s="87"/>
      <c r="Y766" s="87"/>
      <c r="Z766" s="87"/>
      <c r="AA766" s="87"/>
    </row>
    <row r="767" ht="12" customHeight="1" spans="1:27">
      <c r="A767" s="87"/>
      <c r="B767" s="87"/>
      <c r="C767" s="87"/>
      <c r="D767" s="87"/>
      <c r="E767" s="203"/>
      <c r="F767" s="87"/>
      <c r="G767" s="204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155"/>
      <c r="S767" s="156"/>
      <c r="T767" s="157"/>
      <c r="U767" s="173"/>
      <c r="V767" s="157"/>
      <c r="W767" s="157"/>
      <c r="X767" s="87"/>
      <c r="Y767" s="87"/>
      <c r="Z767" s="87"/>
      <c r="AA767" s="87"/>
    </row>
    <row r="768" ht="12" customHeight="1" spans="1:27">
      <c r="A768" s="87"/>
      <c r="B768" s="87"/>
      <c r="C768" s="87"/>
      <c r="D768" s="87"/>
      <c r="E768" s="203"/>
      <c r="F768" s="87"/>
      <c r="G768" s="204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155"/>
      <c r="S768" s="156"/>
      <c r="T768" s="157"/>
      <c r="U768" s="173"/>
      <c r="V768" s="157"/>
      <c r="W768" s="157"/>
      <c r="X768" s="87"/>
      <c r="Y768" s="87"/>
      <c r="Z768" s="87"/>
      <c r="AA768" s="87"/>
    </row>
    <row r="769" ht="12" customHeight="1" spans="1:27">
      <c r="A769" s="87"/>
      <c r="B769" s="87"/>
      <c r="C769" s="87"/>
      <c r="D769" s="87"/>
      <c r="E769" s="203"/>
      <c r="F769" s="87"/>
      <c r="G769" s="204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155"/>
      <c r="S769" s="156"/>
      <c r="T769" s="157"/>
      <c r="U769" s="173"/>
      <c r="V769" s="157"/>
      <c r="W769" s="157"/>
      <c r="X769" s="87"/>
      <c r="Y769" s="87"/>
      <c r="Z769" s="87"/>
      <c r="AA769" s="87"/>
    </row>
    <row r="770" ht="12" customHeight="1" spans="1:27">
      <c r="A770" s="87"/>
      <c r="B770" s="87"/>
      <c r="C770" s="87"/>
      <c r="D770" s="87"/>
      <c r="E770" s="203"/>
      <c r="F770" s="87"/>
      <c r="G770" s="204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155"/>
      <c r="S770" s="156"/>
      <c r="T770" s="157"/>
      <c r="U770" s="173"/>
      <c r="V770" s="157"/>
      <c r="W770" s="157"/>
      <c r="X770" s="87"/>
      <c r="Y770" s="87"/>
      <c r="Z770" s="87"/>
      <c r="AA770" s="87"/>
    </row>
    <row r="771" ht="12" customHeight="1" spans="1:27">
      <c r="A771" s="87"/>
      <c r="B771" s="87"/>
      <c r="C771" s="87"/>
      <c r="D771" s="87"/>
      <c r="E771" s="203"/>
      <c r="F771" s="87"/>
      <c r="G771" s="204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155"/>
      <c r="S771" s="156"/>
      <c r="T771" s="157"/>
      <c r="U771" s="173"/>
      <c r="V771" s="157"/>
      <c r="W771" s="157"/>
      <c r="X771" s="87"/>
      <c r="Y771" s="87"/>
      <c r="Z771" s="87"/>
      <c r="AA771" s="87"/>
    </row>
    <row r="772" ht="12" customHeight="1" spans="1:27">
      <c r="A772" s="87"/>
      <c r="B772" s="87"/>
      <c r="C772" s="87"/>
      <c r="D772" s="87"/>
      <c r="E772" s="203"/>
      <c r="F772" s="87"/>
      <c r="G772" s="204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155"/>
      <c r="S772" s="156"/>
      <c r="T772" s="157"/>
      <c r="U772" s="173"/>
      <c r="V772" s="157"/>
      <c r="W772" s="157"/>
      <c r="X772" s="87"/>
      <c r="Y772" s="87"/>
      <c r="Z772" s="87"/>
      <c r="AA772" s="87"/>
    </row>
    <row r="773" ht="12" customHeight="1" spans="1:27">
      <c r="A773" s="87"/>
      <c r="B773" s="87"/>
      <c r="C773" s="87"/>
      <c r="D773" s="87"/>
      <c r="E773" s="203"/>
      <c r="F773" s="87"/>
      <c r="G773" s="204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155"/>
      <c r="S773" s="156"/>
      <c r="T773" s="157"/>
      <c r="U773" s="173"/>
      <c r="V773" s="157"/>
      <c r="W773" s="157"/>
      <c r="X773" s="87"/>
      <c r="Y773" s="87"/>
      <c r="Z773" s="87"/>
      <c r="AA773" s="87"/>
    </row>
    <row r="774" ht="12" customHeight="1" spans="1:27">
      <c r="A774" s="87"/>
      <c r="B774" s="87"/>
      <c r="C774" s="87"/>
      <c r="D774" s="87"/>
      <c r="E774" s="203"/>
      <c r="F774" s="87"/>
      <c r="G774" s="204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155"/>
      <c r="S774" s="156"/>
      <c r="T774" s="157"/>
      <c r="U774" s="173"/>
      <c r="V774" s="157"/>
      <c r="W774" s="157"/>
      <c r="X774" s="87"/>
      <c r="Y774" s="87"/>
      <c r="Z774" s="87"/>
      <c r="AA774" s="87"/>
    </row>
    <row r="775" ht="12" customHeight="1" spans="1:27">
      <c r="A775" s="87"/>
      <c r="B775" s="87"/>
      <c r="C775" s="87"/>
      <c r="D775" s="87"/>
      <c r="E775" s="203"/>
      <c r="F775" s="87"/>
      <c r="G775" s="204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155"/>
      <c r="S775" s="156"/>
      <c r="T775" s="157"/>
      <c r="U775" s="173"/>
      <c r="V775" s="157"/>
      <c r="W775" s="157"/>
      <c r="X775" s="87"/>
      <c r="Y775" s="87"/>
      <c r="Z775" s="87"/>
      <c r="AA775" s="87"/>
    </row>
    <row r="776" ht="12" customHeight="1" spans="1:27">
      <c r="A776" s="87"/>
      <c r="B776" s="87"/>
      <c r="C776" s="87"/>
      <c r="D776" s="87"/>
      <c r="E776" s="203"/>
      <c r="F776" s="87"/>
      <c r="G776" s="204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155"/>
      <c r="S776" s="156"/>
      <c r="T776" s="157"/>
      <c r="U776" s="173"/>
      <c r="V776" s="157"/>
      <c r="W776" s="157"/>
      <c r="X776" s="87"/>
      <c r="Y776" s="87"/>
      <c r="Z776" s="87"/>
      <c r="AA776" s="87"/>
    </row>
    <row r="777" ht="12" customHeight="1" spans="1:27">
      <c r="A777" s="87"/>
      <c r="B777" s="87"/>
      <c r="C777" s="87"/>
      <c r="D777" s="87"/>
      <c r="E777" s="203"/>
      <c r="F777" s="87"/>
      <c r="G777" s="204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155"/>
      <c r="S777" s="156"/>
      <c r="T777" s="157"/>
      <c r="U777" s="173"/>
      <c r="V777" s="157"/>
      <c r="W777" s="157"/>
      <c r="X777" s="87"/>
      <c r="Y777" s="87"/>
      <c r="Z777" s="87"/>
      <c r="AA777" s="87"/>
    </row>
    <row r="778" ht="12" customHeight="1" spans="1:27">
      <c r="A778" s="87"/>
      <c r="B778" s="87"/>
      <c r="C778" s="87"/>
      <c r="D778" s="87"/>
      <c r="E778" s="203"/>
      <c r="F778" s="87"/>
      <c r="G778" s="204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155"/>
      <c r="S778" s="156"/>
      <c r="T778" s="157"/>
      <c r="U778" s="173"/>
      <c r="V778" s="157"/>
      <c r="W778" s="157"/>
      <c r="X778" s="87"/>
      <c r="Y778" s="87"/>
      <c r="Z778" s="87"/>
      <c r="AA778" s="87"/>
    </row>
    <row r="779" ht="12" customHeight="1" spans="1:27">
      <c r="A779" s="87"/>
      <c r="B779" s="87"/>
      <c r="C779" s="87"/>
      <c r="D779" s="87"/>
      <c r="E779" s="203"/>
      <c r="F779" s="87"/>
      <c r="G779" s="204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155"/>
      <c r="S779" s="156"/>
      <c r="T779" s="157"/>
      <c r="U779" s="173"/>
      <c r="V779" s="157"/>
      <c r="W779" s="157"/>
      <c r="X779" s="87"/>
      <c r="Y779" s="87"/>
      <c r="Z779" s="87"/>
      <c r="AA779" s="87"/>
    </row>
    <row r="780" ht="12" customHeight="1" spans="1:27">
      <c r="A780" s="87"/>
      <c r="B780" s="87"/>
      <c r="C780" s="87"/>
      <c r="D780" s="87"/>
      <c r="E780" s="203"/>
      <c r="F780" s="87"/>
      <c r="G780" s="204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155"/>
      <c r="S780" s="156"/>
      <c r="T780" s="157"/>
      <c r="U780" s="173"/>
      <c r="V780" s="157"/>
      <c r="W780" s="157"/>
      <c r="X780" s="87"/>
      <c r="Y780" s="87"/>
      <c r="Z780" s="87"/>
      <c r="AA780" s="87"/>
    </row>
    <row r="781" ht="12" customHeight="1" spans="1:27">
      <c r="A781" s="87"/>
      <c r="B781" s="87"/>
      <c r="C781" s="87"/>
      <c r="D781" s="87"/>
      <c r="E781" s="203"/>
      <c r="F781" s="87"/>
      <c r="G781" s="204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155"/>
      <c r="S781" s="156"/>
      <c r="T781" s="157"/>
      <c r="U781" s="173"/>
      <c r="V781" s="157"/>
      <c r="W781" s="157"/>
      <c r="X781" s="87"/>
      <c r="Y781" s="87"/>
      <c r="Z781" s="87"/>
      <c r="AA781" s="87"/>
    </row>
    <row r="782" ht="12" customHeight="1" spans="1:27">
      <c r="A782" s="87"/>
      <c r="B782" s="87"/>
      <c r="C782" s="87"/>
      <c r="D782" s="87"/>
      <c r="E782" s="203"/>
      <c r="F782" s="87"/>
      <c r="G782" s="204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155"/>
      <c r="S782" s="156"/>
      <c r="T782" s="157"/>
      <c r="U782" s="173"/>
      <c r="V782" s="157"/>
      <c r="W782" s="157"/>
      <c r="X782" s="87"/>
      <c r="Y782" s="87"/>
      <c r="Z782" s="87"/>
      <c r="AA782" s="87"/>
    </row>
    <row r="783" ht="12" customHeight="1" spans="1:27">
      <c r="A783" s="87"/>
      <c r="B783" s="87"/>
      <c r="C783" s="87"/>
      <c r="D783" s="87"/>
      <c r="E783" s="203"/>
      <c r="F783" s="87"/>
      <c r="G783" s="204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155"/>
      <c r="S783" s="156"/>
      <c r="T783" s="157"/>
      <c r="U783" s="173"/>
      <c r="V783" s="157"/>
      <c r="W783" s="157"/>
      <c r="X783" s="87"/>
      <c r="Y783" s="87"/>
      <c r="Z783" s="87"/>
      <c r="AA783" s="87"/>
    </row>
    <row r="784" ht="12" customHeight="1" spans="1:27">
      <c r="A784" s="87"/>
      <c r="B784" s="87"/>
      <c r="C784" s="87"/>
      <c r="D784" s="87"/>
      <c r="E784" s="203"/>
      <c r="F784" s="87"/>
      <c r="G784" s="204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155"/>
      <c r="S784" s="156"/>
      <c r="T784" s="157"/>
      <c r="U784" s="173"/>
      <c r="V784" s="157"/>
      <c r="W784" s="157"/>
      <c r="X784" s="87"/>
      <c r="Y784" s="87"/>
      <c r="Z784" s="87"/>
      <c r="AA784" s="87"/>
    </row>
    <row r="785" ht="12" customHeight="1" spans="1:27">
      <c r="A785" s="87"/>
      <c r="B785" s="87"/>
      <c r="C785" s="87"/>
      <c r="D785" s="87"/>
      <c r="E785" s="203"/>
      <c r="F785" s="87"/>
      <c r="G785" s="204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155"/>
      <c r="S785" s="156"/>
      <c r="T785" s="157"/>
      <c r="U785" s="173"/>
      <c r="V785" s="157"/>
      <c r="W785" s="157"/>
      <c r="X785" s="87"/>
      <c r="Y785" s="87"/>
      <c r="Z785" s="87"/>
      <c r="AA785" s="87"/>
    </row>
    <row r="786" ht="12" customHeight="1" spans="1:27">
      <c r="A786" s="87"/>
      <c r="B786" s="87"/>
      <c r="C786" s="87"/>
      <c r="D786" s="87"/>
      <c r="E786" s="203"/>
      <c r="F786" s="87"/>
      <c r="G786" s="204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155"/>
      <c r="S786" s="156"/>
      <c r="T786" s="157"/>
      <c r="U786" s="173"/>
      <c r="V786" s="157"/>
      <c r="W786" s="157"/>
      <c r="X786" s="87"/>
      <c r="Y786" s="87"/>
      <c r="Z786" s="87"/>
      <c r="AA786" s="87"/>
    </row>
    <row r="787" ht="12" customHeight="1" spans="1:27">
      <c r="A787" s="87"/>
      <c r="B787" s="87"/>
      <c r="C787" s="87"/>
      <c r="D787" s="87"/>
      <c r="E787" s="203"/>
      <c r="F787" s="87"/>
      <c r="G787" s="204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155"/>
      <c r="S787" s="156"/>
      <c r="T787" s="157"/>
      <c r="U787" s="173"/>
      <c r="V787" s="157"/>
      <c r="W787" s="157"/>
      <c r="X787" s="87"/>
      <c r="Y787" s="87"/>
      <c r="Z787" s="87"/>
      <c r="AA787" s="87"/>
    </row>
    <row r="788" ht="12" customHeight="1" spans="1:27">
      <c r="A788" s="87"/>
      <c r="B788" s="87"/>
      <c r="C788" s="87"/>
      <c r="D788" s="87"/>
      <c r="E788" s="203"/>
      <c r="F788" s="87"/>
      <c r="G788" s="204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155"/>
      <c r="S788" s="156"/>
      <c r="T788" s="157"/>
      <c r="U788" s="173"/>
      <c r="V788" s="157"/>
      <c r="W788" s="157"/>
      <c r="X788" s="87"/>
      <c r="Y788" s="87"/>
      <c r="Z788" s="87"/>
      <c r="AA788" s="87"/>
    </row>
    <row r="789" ht="12" customHeight="1" spans="1:27">
      <c r="A789" s="87"/>
      <c r="B789" s="87"/>
      <c r="C789" s="87"/>
      <c r="D789" s="87"/>
      <c r="E789" s="203"/>
      <c r="F789" s="87"/>
      <c r="G789" s="204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155"/>
      <c r="S789" s="156"/>
      <c r="T789" s="157"/>
      <c r="U789" s="173"/>
      <c r="V789" s="157"/>
      <c r="W789" s="157"/>
      <c r="X789" s="87"/>
      <c r="Y789" s="87"/>
      <c r="Z789" s="87"/>
      <c r="AA789" s="87"/>
    </row>
    <row r="790" ht="12" customHeight="1" spans="1:27">
      <c r="A790" s="87"/>
      <c r="B790" s="87"/>
      <c r="C790" s="87"/>
      <c r="D790" s="87"/>
      <c r="E790" s="203"/>
      <c r="F790" s="87"/>
      <c r="G790" s="204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155"/>
      <c r="S790" s="156"/>
      <c r="T790" s="157"/>
      <c r="U790" s="173"/>
      <c r="V790" s="157"/>
      <c r="W790" s="157"/>
      <c r="X790" s="87"/>
      <c r="Y790" s="87"/>
      <c r="Z790" s="87"/>
      <c r="AA790" s="87"/>
    </row>
    <row r="791" ht="12" customHeight="1" spans="1:27">
      <c r="A791" s="87"/>
      <c r="B791" s="87"/>
      <c r="C791" s="87"/>
      <c r="D791" s="87"/>
      <c r="E791" s="203"/>
      <c r="F791" s="87"/>
      <c r="G791" s="204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155"/>
      <c r="S791" s="156"/>
      <c r="T791" s="157"/>
      <c r="U791" s="173"/>
      <c r="V791" s="157"/>
      <c r="W791" s="157"/>
      <c r="X791" s="87"/>
      <c r="Y791" s="87"/>
      <c r="Z791" s="87"/>
      <c r="AA791" s="87"/>
    </row>
    <row r="792" ht="12" customHeight="1" spans="1:27">
      <c r="A792" s="87"/>
      <c r="B792" s="87"/>
      <c r="C792" s="87"/>
      <c r="D792" s="87"/>
      <c r="E792" s="203"/>
      <c r="F792" s="87"/>
      <c r="G792" s="204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155"/>
      <c r="S792" s="156"/>
      <c r="T792" s="157"/>
      <c r="U792" s="173"/>
      <c r="V792" s="157"/>
      <c r="W792" s="157"/>
      <c r="X792" s="87"/>
      <c r="Y792" s="87"/>
      <c r="Z792" s="87"/>
      <c r="AA792" s="87"/>
    </row>
    <row r="793" ht="12" customHeight="1" spans="1:27">
      <c r="A793" s="87"/>
      <c r="B793" s="87"/>
      <c r="C793" s="87"/>
      <c r="D793" s="87"/>
      <c r="E793" s="203"/>
      <c r="F793" s="87"/>
      <c r="G793" s="204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155"/>
      <c r="S793" s="156"/>
      <c r="T793" s="157"/>
      <c r="U793" s="173"/>
      <c r="V793" s="157"/>
      <c r="W793" s="157"/>
      <c r="X793" s="87"/>
      <c r="Y793" s="87"/>
      <c r="Z793" s="87"/>
      <c r="AA793" s="87"/>
    </row>
    <row r="794" ht="12" customHeight="1" spans="1:27">
      <c r="A794" s="87"/>
      <c r="B794" s="87"/>
      <c r="C794" s="87"/>
      <c r="D794" s="87"/>
      <c r="E794" s="203"/>
      <c r="F794" s="87"/>
      <c r="G794" s="204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155"/>
      <c r="S794" s="156"/>
      <c r="T794" s="157"/>
      <c r="U794" s="173"/>
      <c r="V794" s="157"/>
      <c r="W794" s="157"/>
      <c r="X794" s="87"/>
      <c r="Y794" s="87"/>
      <c r="Z794" s="87"/>
      <c r="AA794" s="87"/>
    </row>
    <row r="795" ht="12" customHeight="1" spans="1:27">
      <c r="A795" s="87"/>
      <c r="B795" s="87"/>
      <c r="C795" s="87"/>
      <c r="D795" s="87"/>
      <c r="E795" s="203"/>
      <c r="F795" s="87"/>
      <c r="G795" s="204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155"/>
      <c r="S795" s="156"/>
      <c r="T795" s="157"/>
      <c r="U795" s="173"/>
      <c r="V795" s="157"/>
      <c r="W795" s="157"/>
      <c r="X795" s="87"/>
      <c r="Y795" s="87"/>
      <c r="Z795" s="87"/>
      <c r="AA795" s="87"/>
    </row>
    <row r="796" ht="12" customHeight="1" spans="1:27">
      <c r="A796" s="87"/>
      <c r="B796" s="87"/>
      <c r="C796" s="87"/>
      <c r="D796" s="87"/>
      <c r="E796" s="203"/>
      <c r="F796" s="87"/>
      <c r="G796" s="204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155"/>
      <c r="S796" s="156"/>
      <c r="T796" s="157"/>
      <c r="U796" s="173"/>
      <c r="V796" s="157"/>
      <c r="W796" s="157"/>
      <c r="X796" s="87"/>
      <c r="Y796" s="87"/>
      <c r="Z796" s="87"/>
      <c r="AA796" s="87"/>
    </row>
    <row r="797" ht="12" customHeight="1" spans="1:27">
      <c r="A797" s="87"/>
      <c r="B797" s="87"/>
      <c r="C797" s="87"/>
      <c r="D797" s="87"/>
      <c r="E797" s="203"/>
      <c r="F797" s="87"/>
      <c r="G797" s="204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155"/>
      <c r="S797" s="156"/>
      <c r="T797" s="157"/>
      <c r="U797" s="173"/>
      <c r="V797" s="157"/>
      <c r="W797" s="157"/>
      <c r="X797" s="87"/>
      <c r="Y797" s="87"/>
      <c r="Z797" s="87"/>
      <c r="AA797" s="87"/>
    </row>
    <row r="798" ht="12" customHeight="1" spans="1:27">
      <c r="A798" s="87"/>
      <c r="B798" s="87"/>
      <c r="C798" s="87"/>
      <c r="D798" s="87"/>
      <c r="E798" s="203"/>
      <c r="F798" s="87"/>
      <c r="G798" s="204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155"/>
      <c r="S798" s="156"/>
      <c r="T798" s="157"/>
      <c r="U798" s="173"/>
      <c r="V798" s="157"/>
      <c r="W798" s="157"/>
      <c r="X798" s="87"/>
      <c r="Y798" s="87"/>
      <c r="Z798" s="87"/>
      <c r="AA798" s="87"/>
    </row>
    <row r="799" ht="12" customHeight="1" spans="1:27">
      <c r="A799" s="87"/>
      <c r="B799" s="87"/>
      <c r="C799" s="87"/>
      <c r="D799" s="87"/>
      <c r="E799" s="203"/>
      <c r="F799" s="87"/>
      <c r="G799" s="204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155"/>
      <c r="S799" s="156"/>
      <c r="T799" s="157"/>
      <c r="U799" s="173"/>
      <c r="V799" s="157"/>
      <c r="W799" s="157"/>
      <c r="X799" s="87"/>
      <c r="Y799" s="87"/>
      <c r="Z799" s="87"/>
      <c r="AA799" s="87"/>
    </row>
    <row r="800" ht="12" customHeight="1" spans="1:27">
      <c r="A800" s="87"/>
      <c r="B800" s="87"/>
      <c r="C800" s="87"/>
      <c r="D800" s="87"/>
      <c r="E800" s="203"/>
      <c r="F800" s="87"/>
      <c r="G800" s="204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155"/>
      <c r="S800" s="156"/>
      <c r="T800" s="157"/>
      <c r="U800" s="173"/>
      <c r="V800" s="157"/>
      <c r="W800" s="157"/>
      <c r="X800" s="87"/>
      <c r="Y800" s="87"/>
      <c r="Z800" s="87"/>
      <c r="AA800" s="87"/>
    </row>
    <row r="801" ht="12" customHeight="1" spans="1:27">
      <c r="A801" s="87"/>
      <c r="B801" s="87"/>
      <c r="C801" s="87"/>
      <c r="D801" s="87"/>
      <c r="E801" s="203"/>
      <c r="F801" s="87"/>
      <c r="G801" s="204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155"/>
      <c r="S801" s="156"/>
      <c r="T801" s="157"/>
      <c r="U801" s="173"/>
      <c r="V801" s="157"/>
      <c r="W801" s="157"/>
      <c r="X801" s="87"/>
      <c r="Y801" s="87"/>
      <c r="Z801" s="87"/>
      <c r="AA801" s="87"/>
    </row>
    <row r="802" ht="12" customHeight="1" spans="1:27">
      <c r="A802" s="87"/>
      <c r="B802" s="87"/>
      <c r="C802" s="87"/>
      <c r="D802" s="87"/>
      <c r="E802" s="203"/>
      <c r="F802" s="87"/>
      <c r="G802" s="204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155"/>
      <c r="S802" s="156"/>
      <c r="T802" s="157"/>
      <c r="U802" s="173"/>
      <c r="V802" s="157"/>
      <c r="W802" s="157"/>
      <c r="X802" s="87"/>
      <c r="Y802" s="87"/>
      <c r="Z802" s="87"/>
      <c r="AA802" s="87"/>
    </row>
    <row r="803" ht="12" customHeight="1" spans="1:27">
      <c r="A803" s="87"/>
      <c r="B803" s="87"/>
      <c r="C803" s="87"/>
      <c r="D803" s="87"/>
      <c r="E803" s="203"/>
      <c r="F803" s="87"/>
      <c r="G803" s="204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155"/>
      <c r="S803" s="156"/>
      <c r="T803" s="157"/>
      <c r="U803" s="173"/>
      <c r="V803" s="157"/>
      <c r="W803" s="157"/>
      <c r="X803" s="87"/>
      <c r="Y803" s="87"/>
      <c r="Z803" s="87"/>
      <c r="AA803" s="87"/>
    </row>
    <row r="804" ht="12" customHeight="1" spans="1:27">
      <c r="A804" s="87"/>
      <c r="B804" s="87"/>
      <c r="C804" s="87"/>
      <c r="D804" s="87"/>
      <c r="E804" s="203"/>
      <c r="F804" s="87"/>
      <c r="G804" s="204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155"/>
      <c r="S804" s="156"/>
      <c r="T804" s="157"/>
      <c r="U804" s="173"/>
      <c r="V804" s="157"/>
      <c r="W804" s="157"/>
      <c r="X804" s="87"/>
      <c r="Y804" s="87"/>
      <c r="Z804" s="87"/>
      <c r="AA804" s="87"/>
    </row>
    <row r="805" ht="12" customHeight="1" spans="1:27">
      <c r="A805" s="87"/>
      <c r="B805" s="87"/>
      <c r="C805" s="87"/>
      <c r="D805" s="87"/>
      <c r="E805" s="203"/>
      <c r="F805" s="87"/>
      <c r="G805" s="204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155"/>
      <c r="S805" s="156"/>
      <c r="T805" s="157"/>
      <c r="U805" s="173"/>
      <c r="V805" s="157"/>
      <c r="W805" s="157"/>
      <c r="X805" s="87"/>
      <c r="Y805" s="87"/>
      <c r="Z805" s="87"/>
      <c r="AA805" s="87"/>
    </row>
    <row r="806" ht="12" customHeight="1" spans="1:27">
      <c r="A806" s="87"/>
      <c r="B806" s="87"/>
      <c r="C806" s="87"/>
      <c r="D806" s="87"/>
      <c r="E806" s="203"/>
      <c r="F806" s="87"/>
      <c r="G806" s="204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155"/>
      <c r="S806" s="156"/>
      <c r="T806" s="157"/>
      <c r="U806" s="173"/>
      <c r="V806" s="157"/>
      <c r="W806" s="157"/>
      <c r="X806" s="87"/>
      <c r="Y806" s="87"/>
      <c r="Z806" s="87"/>
      <c r="AA806" s="87"/>
    </row>
    <row r="807" ht="12" customHeight="1" spans="1:27">
      <c r="A807" s="87"/>
      <c r="B807" s="87"/>
      <c r="C807" s="87"/>
      <c r="D807" s="87"/>
      <c r="E807" s="203"/>
      <c r="F807" s="87"/>
      <c r="G807" s="204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155"/>
      <c r="S807" s="156"/>
      <c r="T807" s="157"/>
      <c r="U807" s="173"/>
      <c r="V807" s="157"/>
      <c r="W807" s="157"/>
      <c r="X807" s="87"/>
      <c r="Y807" s="87"/>
      <c r="Z807" s="87"/>
      <c r="AA807" s="87"/>
    </row>
    <row r="808" ht="12" customHeight="1" spans="1:27">
      <c r="A808" s="87"/>
      <c r="B808" s="87"/>
      <c r="C808" s="87"/>
      <c r="D808" s="87"/>
      <c r="E808" s="203"/>
      <c r="F808" s="87"/>
      <c r="G808" s="204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155"/>
      <c r="S808" s="156"/>
      <c r="T808" s="157"/>
      <c r="U808" s="173"/>
      <c r="V808" s="157"/>
      <c r="W808" s="157"/>
      <c r="X808" s="87"/>
      <c r="Y808" s="87"/>
      <c r="Z808" s="87"/>
      <c r="AA808" s="87"/>
    </row>
    <row r="809" ht="12" customHeight="1" spans="1:27">
      <c r="A809" s="87"/>
      <c r="B809" s="87"/>
      <c r="C809" s="87"/>
      <c r="D809" s="87"/>
      <c r="E809" s="203"/>
      <c r="F809" s="87"/>
      <c r="G809" s="204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155"/>
      <c r="S809" s="156"/>
      <c r="T809" s="157"/>
      <c r="U809" s="173"/>
      <c r="V809" s="157"/>
      <c r="W809" s="157"/>
      <c r="X809" s="87"/>
      <c r="Y809" s="87"/>
      <c r="Z809" s="87"/>
      <c r="AA809" s="87"/>
    </row>
    <row r="810" ht="12" customHeight="1" spans="1:27">
      <c r="A810" s="87"/>
      <c r="B810" s="87"/>
      <c r="C810" s="87"/>
      <c r="D810" s="87"/>
      <c r="E810" s="203"/>
      <c r="F810" s="87"/>
      <c r="G810" s="204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155"/>
      <c r="S810" s="156"/>
      <c r="T810" s="157"/>
      <c r="U810" s="173"/>
      <c r="V810" s="157"/>
      <c r="W810" s="157"/>
      <c r="X810" s="87"/>
      <c r="Y810" s="87"/>
      <c r="Z810" s="87"/>
      <c r="AA810" s="87"/>
    </row>
    <row r="811" ht="12" customHeight="1" spans="1:27">
      <c r="A811" s="87"/>
      <c r="B811" s="87"/>
      <c r="C811" s="87"/>
      <c r="D811" s="87"/>
      <c r="E811" s="203"/>
      <c r="F811" s="87"/>
      <c r="G811" s="204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155"/>
      <c r="S811" s="156"/>
      <c r="T811" s="157"/>
      <c r="U811" s="173"/>
      <c r="V811" s="157"/>
      <c r="W811" s="157"/>
      <c r="X811" s="87"/>
      <c r="Y811" s="87"/>
      <c r="Z811" s="87"/>
      <c r="AA811" s="87"/>
    </row>
    <row r="812" ht="12" customHeight="1" spans="1:27">
      <c r="A812" s="87"/>
      <c r="B812" s="87"/>
      <c r="C812" s="87"/>
      <c r="D812" s="87"/>
      <c r="E812" s="203"/>
      <c r="F812" s="87"/>
      <c r="G812" s="204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155"/>
      <c r="S812" s="156"/>
      <c r="T812" s="157"/>
      <c r="U812" s="173"/>
      <c r="V812" s="157"/>
      <c r="W812" s="157"/>
      <c r="X812" s="87"/>
      <c r="Y812" s="87"/>
      <c r="Z812" s="87"/>
      <c r="AA812" s="87"/>
    </row>
    <row r="813" ht="12" customHeight="1" spans="1:27">
      <c r="A813" s="87"/>
      <c r="B813" s="87"/>
      <c r="C813" s="87"/>
      <c r="D813" s="87"/>
      <c r="E813" s="203"/>
      <c r="F813" s="87"/>
      <c r="G813" s="204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155"/>
      <c r="S813" s="156"/>
      <c r="T813" s="157"/>
      <c r="U813" s="173"/>
      <c r="V813" s="157"/>
      <c r="W813" s="157"/>
      <c r="X813" s="87"/>
      <c r="Y813" s="87"/>
      <c r="Z813" s="87"/>
      <c r="AA813" s="87"/>
    </row>
    <row r="814" ht="12" customHeight="1" spans="1:27">
      <c r="A814" s="87"/>
      <c r="B814" s="87"/>
      <c r="C814" s="87"/>
      <c r="D814" s="87"/>
      <c r="E814" s="203"/>
      <c r="F814" s="87"/>
      <c r="G814" s="204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155"/>
      <c r="S814" s="156"/>
      <c r="T814" s="157"/>
      <c r="U814" s="173"/>
      <c r="V814" s="157"/>
      <c r="W814" s="157"/>
      <c r="X814" s="87"/>
      <c r="Y814" s="87"/>
      <c r="Z814" s="87"/>
      <c r="AA814" s="87"/>
    </row>
    <row r="815" ht="12" customHeight="1" spans="1:27">
      <c r="A815" s="87"/>
      <c r="B815" s="87"/>
      <c r="C815" s="87"/>
      <c r="D815" s="87"/>
      <c r="E815" s="203"/>
      <c r="F815" s="87"/>
      <c r="G815" s="204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155"/>
      <c r="S815" s="156"/>
      <c r="T815" s="157"/>
      <c r="U815" s="173"/>
      <c r="V815" s="157"/>
      <c r="W815" s="157"/>
      <c r="X815" s="87"/>
      <c r="Y815" s="87"/>
      <c r="Z815" s="87"/>
      <c r="AA815" s="87"/>
    </row>
    <row r="816" ht="12" customHeight="1" spans="1:27">
      <c r="A816" s="87"/>
      <c r="B816" s="87"/>
      <c r="C816" s="87"/>
      <c r="D816" s="87"/>
      <c r="E816" s="203"/>
      <c r="F816" s="87"/>
      <c r="G816" s="204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155"/>
      <c r="S816" s="156"/>
      <c r="T816" s="157"/>
      <c r="U816" s="173"/>
      <c r="V816" s="157"/>
      <c r="W816" s="157"/>
      <c r="X816" s="87"/>
      <c r="Y816" s="87"/>
      <c r="Z816" s="87"/>
      <c r="AA816" s="87"/>
    </row>
    <row r="817" ht="12" customHeight="1" spans="1:27">
      <c r="A817" s="87"/>
      <c r="B817" s="87"/>
      <c r="C817" s="87"/>
      <c r="D817" s="87"/>
      <c r="E817" s="203"/>
      <c r="F817" s="87"/>
      <c r="G817" s="204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155"/>
      <c r="S817" s="156"/>
      <c r="T817" s="157"/>
      <c r="U817" s="173"/>
      <c r="V817" s="157"/>
      <c r="W817" s="157"/>
      <c r="X817" s="87"/>
      <c r="Y817" s="87"/>
      <c r="Z817" s="87"/>
      <c r="AA817" s="87"/>
    </row>
    <row r="818" ht="12" customHeight="1" spans="1:27">
      <c r="A818" s="87"/>
      <c r="B818" s="87"/>
      <c r="C818" s="87"/>
      <c r="D818" s="87"/>
      <c r="E818" s="203"/>
      <c r="F818" s="87"/>
      <c r="G818" s="204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155"/>
      <c r="S818" s="156"/>
      <c r="T818" s="157"/>
      <c r="U818" s="173"/>
      <c r="V818" s="157"/>
      <c r="W818" s="157"/>
      <c r="X818" s="87"/>
      <c r="Y818" s="87"/>
      <c r="Z818" s="87"/>
      <c r="AA818" s="87"/>
    </row>
    <row r="819" ht="12" customHeight="1" spans="1:27">
      <c r="A819" s="87"/>
      <c r="B819" s="87"/>
      <c r="C819" s="87"/>
      <c r="D819" s="87"/>
      <c r="E819" s="203"/>
      <c r="F819" s="87"/>
      <c r="G819" s="204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155"/>
      <c r="S819" s="156"/>
      <c r="T819" s="157"/>
      <c r="U819" s="173"/>
      <c r="V819" s="157"/>
      <c r="W819" s="157"/>
      <c r="X819" s="87"/>
      <c r="Y819" s="87"/>
      <c r="Z819" s="87"/>
      <c r="AA819" s="87"/>
    </row>
    <row r="820" ht="12" customHeight="1" spans="1:27">
      <c r="A820" s="87"/>
      <c r="B820" s="87"/>
      <c r="C820" s="87"/>
      <c r="D820" s="87"/>
      <c r="E820" s="203"/>
      <c r="F820" s="87"/>
      <c r="G820" s="204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155"/>
      <c r="S820" s="156"/>
      <c r="T820" s="157"/>
      <c r="U820" s="173"/>
      <c r="V820" s="157"/>
      <c r="W820" s="157"/>
      <c r="X820" s="87"/>
      <c r="Y820" s="87"/>
      <c r="Z820" s="87"/>
      <c r="AA820" s="87"/>
    </row>
    <row r="821" ht="12" customHeight="1" spans="1:27">
      <c r="A821" s="87"/>
      <c r="B821" s="87"/>
      <c r="C821" s="87"/>
      <c r="D821" s="87"/>
      <c r="E821" s="203"/>
      <c r="F821" s="87"/>
      <c r="G821" s="204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155"/>
      <c r="S821" s="156"/>
      <c r="T821" s="157"/>
      <c r="U821" s="173"/>
      <c r="V821" s="157"/>
      <c r="W821" s="157"/>
      <c r="X821" s="87"/>
      <c r="Y821" s="87"/>
      <c r="Z821" s="87"/>
      <c r="AA821" s="87"/>
    </row>
    <row r="822" ht="12" customHeight="1" spans="1:27">
      <c r="A822" s="87"/>
      <c r="B822" s="87"/>
      <c r="C822" s="87"/>
      <c r="D822" s="87"/>
      <c r="E822" s="203"/>
      <c r="F822" s="87"/>
      <c r="G822" s="204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155"/>
      <c r="S822" s="156"/>
      <c r="T822" s="157"/>
      <c r="U822" s="173"/>
      <c r="V822" s="157"/>
      <c r="W822" s="157"/>
      <c r="X822" s="87"/>
      <c r="Y822" s="87"/>
      <c r="Z822" s="87"/>
      <c r="AA822" s="87"/>
    </row>
    <row r="823" ht="12" customHeight="1" spans="1:27">
      <c r="A823" s="87"/>
      <c r="B823" s="87"/>
      <c r="C823" s="87"/>
      <c r="D823" s="87"/>
      <c r="E823" s="203"/>
      <c r="F823" s="87"/>
      <c r="G823" s="204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155"/>
      <c r="S823" s="156"/>
      <c r="T823" s="157"/>
      <c r="U823" s="173"/>
      <c r="V823" s="157"/>
      <c r="W823" s="157"/>
      <c r="X823" s="87"/>
      <c r="Y823" s="87"/>
      <c r="Z823" s="87"/>
      <c r="AA823" s="87"/>
    </row>
    <row r="824" ht="12" customHeight="1" spans="1:27">
      <c r="A824" s="87"/>
      <c r="B824" s="87"/>
      <c r="C824" s="87"/>
      <c r="D824" s="87"/>
      <c r="E824" s="203"/>
      <c r="F824" s="87"/>
      <c r="G824" s="204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155"/>
      <c r="S824" s="156"/>
      <c r="T824" s="157"/>
      <c r="U824" s="173"/>
      <c r="V824" s="157"/>
      <c r="W824" s="157"/>
      <c r="X824" s="87"/>
      <c r="Y824" s="87"/>
      <c r="Z824" s="87"/>
      <c r="AA824" s="87"/>
    </row>
    <row r="825" ht="12" customHeight="1" spans="1:27">
      <c r="A825" s="87"/>
      <c r="B825" s="87"/>
      <c r="C825" s="87"/>
      <c r="D825" s="87"/>
      <c r="E825" s="203"/>
      <c r="F825" s="87"/>
      <c r="G825" s="204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155"/>
      <c r="S825" s="156"/>
      <c r="T825" s="157"/>
      <c r="U825" s="173"/>
      <c r="V825" s="157"/>
      <c r="W825" s="157"/>
      <c r="X825" s="87"/>
      <c r="Y825" s="87"/>
      <c r="Z825" s="87"/>
      <c r="AA825" s="87"/>
    </row>
    <row r="826" ht="12" customHeight="1" spans="1:27">
      <c r="A826" s="87"/>
      <c r="B826" s="87"/>
      <c r="C826" s="87"/>
      <c r="D826" s="87"/>
      <c r="E826" s="203"/>
      <c r="F826" s="87"/>
      <c r="G826" s="204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155"/>
      <c r="S826" s="156"/>
      <c r="T826" s="157"/>
      <c r="U826" s="173"/>
      <c r="V826" s="157"/>
      <c r="W826" s="157"/>
      <c r="X826" s="87"/>
      <c r="Y826" s="87"/>
      <c r="Z826" s="87"/>
      <c r="AA826" s="87"/>
    </row>
    <row r="827" ht="12" customHeight="1" spans="1:27">
      <c r="A827" s="87"/>
      <c r="B827" s="87"/>
      <c r="C827" s="87"/>
      <c r="D827" s="87"/>
      <c r="E827" s="203"/>
      <c r="F827" s="87"/>
      <c r="G827" s="204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155"/>
      <c r="S827" s="156"/>
      <c r="T827" s="157"/>
      <c r="U827" s="173"/>
      <c r="V827" s="157"/>
      <c r="W827" s="157"/>
      <c r="X827" s="87"/>
      <c r="Y827" s="87"/>
      <c r="Z827" s="87"/>
      <c r="AA827" s="87"/>
    </row>
    <row r="828" ht="12" customHeight="1" spans="1:27">
      <c r="A828" s="87"/>
      <c r="B828" s="87"/>
      <c r="C828" s="87"/>
      <c r="D828" s="87"/>
      <c r="E828" s="203"/>
      <c r="F828" s="87"/>
      <c r="G828" s="204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155"/>
      <c r="S828" s="156"/>
      <c r="T828" s="157"/>
      <c r="U828" s="173"/>
      <c r="V828" s="157"/>
      <c r="W828" s="157"/>
      <c r="X828" s="87"/>
      <c r="Y828" s="87"/>
      <c r="Z828" s="87"/>
      <c r="AA828" s="87"/>
    </row>
    <row r="829" ht="12" customHeight="1" spans="1:27">
      <c r="A829" s="87"/>
      <c r="B829" s="87"/>
      <c r="C829" s="87"/>
      <c r="D829" s="87"/>
      <c r="E829" s="203"/>
      <c r="F829" s="87"/>
      <c r="G829" s="204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155"/>
      <c r="S829" s="156"/>
      <c r="T829" s="157"/>
      <c r="U829" s="173"/>
      <c r="V829" s="157"/>
      <c r="W829" s="157"/>
      <c r="X829" s="87"/>
      <c r="Y829" s="87"/>
      <c r="Z829" s="87"/>
      <c r="AA829" s="87"/>
    </row>
    <row r="830" ht="12" customHeight="1" spans="1:27">
      <c r="A830" s="87"/>
      <c r="B830" s="87"/>
      <c r="C830" s="87"/>
      <c r="D830" s="87"/>
      <c r="E830" s="203"/>
      <c r="F830" s="87"/>
      <c r="G830" s="204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155"/>
      <c r="S830" s="156"/>
      <c r="T830" s="157"/>
      <c r="U830" s="173"/>
      <c r="V830" s="157"/>
      <c r="W830" s="157"/>
      <c r="X830" s="87"/>
      <c r="Y830" s="87"/>
      <c r="Z830" s="87"/>
      <c r="AA830" s="87"/>
    </row>
    <row r="831" ht="12" customHeight="1" spans="1:27">
      <c r="A831" s="87"/>
      <c r="B831" s="87"/>
      <c r="C831" s="87"/>
      <c r="D831" s="87"/>
      <c r="E831" s="203"/>
      <c r="F831" s="87"/>
      <c r="G831" s="204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155"/>
      <c r="S831" s="156"/>
      <c r="T831" s="157"/>
      <c r="U831" s="173"/>
      <c r="V831" s="157"/>
      <c r="W831" s="157"/>
      <c r="X831" s="87"/>
      <c r="Y831" s="87"/>
      <c r="Z831" s="87"/>
      <c r="AA831" s="87"/>
    </row>
    <row r="832" ht="12" customHeight="1" spans="1:27">
      <c r="A832" s="87"/>
      <c r="B832" s="87"/>
      <c r="C832" s="87"/>
      <c r="D832" s="87"/>
      <c r="E832" s="203"/>
      <c r="F832" s="87"/>
      <c r="G832" s="204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155"/>
      <c r="S832" s="156"/>
      <c r="T832" s="157"/>
      <c r="U832" s="173"/>
      <c r="V832" s="157"/>
      <c r="W832" s="157"/>
      <c r="X832" s="87"/>
      <c r="Y832" s="87"/>
      <c r="Z832" s="87"/>
      <c r="AA832" s="87"/>
    </row>
    <row r="833" ht="12" customHeight="1" spans="1:27">
      <c r="A833" s="87"/>
      <c r="B833" s="87"/>
      <c r="C833" s="87"/>
      <c r="D833" s="87"/>
      <c r="E833" s="203"/>
      <c r="F833" s="87"/>
      <c r="G833" s="204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155"/>
      <c r="S833" s="156"/>
      <c r="T833" s="157"/>
      <c r="U833" s="173"/>
      <c r="V833" s="157"/>
      <c r="W833" s="157"/>
      <c r="X833" s="87"/>
      <c r="Y833" s="87"/>
      <c r="Z833" s="87"/>
      <c r="AA833" s="87"/>
    </row>
    <row r="834" ht="12" customHeight="1" spans="1:27">
      <c r="A834" s="87"/>
      <c r="B834" s="87"/>
      <c r="C834" s="87"/>
      <c r="D834" s="87"/>
      <c r="E834" s="203"/>
      <c r="F834" s="87"/>
      <c r="G834" s="204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155"/>
      <c r="S834" s="156"/>
      <c r="T834" s="157"/>
      <c r="U834" s="173"/>
      <c r="V834" s="157"/>
      <c r="W834" s="157"/>
      <c r="X834" s="87"/>
      <c r="Y834" s="87"/>
      <c r="Z834" s="87"/>
      <c r="AA834" s="87"/>
    </row>
    <row r="835" ht="12" customHeight="1" spans="1:27">
      <c r="A835" s="87"/>
      <c r="B835" s="87"/>
      <c r="C835" s="87"/>
      <c r="D835" s="87"/>
      <c r="E835" s="203"/>
      <c r="F835" s="87"/>
      <c r="G835" s="204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155"/>
      <c r="S835" s="156"/>
      <c r="T835" s="157"/>
      <c r="U835" s="173"/>
      <c r="V835" s="157"/>
      <c r="W835" s="157"/>
      <c r="X835" s="87"/>
      <c r="Y835" s="87"/>
      <c r="Z835" s="87"/>
      <c r="AA835" s="87"/>
    </row>
    <row r="836" ht="12" customHeight="1" spans="1:27">
      <c r="A836" s="87"/>
      <c r="B836" s="87"/>
      <c r="C836" s="87"/>
      <c r="D836" s="87"/>
      <c r="E836" s="203"/>
      <c r="F836" s="87"/>
      <c r="G836" s="204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155"/>
      <c r="S836" s="156"/>
      <c r="T836" s="157"/>
      <c r="U836" s="173"/>
      <c r="V836" s="157"/>
      <c r="W836" s="157"/>
      <c r="X836" s="87"/>
      <c r="Y836" s="87"/>
      <c r="Z836" s="87"/>
      <c r="AA836" s="87"/>
    </row>
    <row r="837" ht="12" customHeight="1" spans="1:27">
      <c r="A837" s="87"/>
      <c r="B837" s="87"/>
      <c r="C837" s="87"/>
      <c r="D837" s="87"/>
      <c r="E837" s="203"/>
      <c r="F837" s="87"/>
      <c r="G837" s="204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155"/>
      <c r="S837" s="156"/>
      <c r="T837" s="157"/>
      <c r="U837" s="173"/>
      <c r="V837" s="157"/>
      <c r="W837" s="157"/>
      <c r="X837" s="87"/>
      <c r="Y837" s="87"/>
      <c r="Z837" s="87"/>
      <c r="AA837" s="87"/>
    </row>
    <row r="838" ht="12" customHeight="1" spans="1:27">
      <c r="A838" s="87"/>
      <c r="B838" s="87"/>
      <c r="C838" s="87"/>
      <c r="D838" s="87"/>
      <c r="E838" s="203"/>
      <c r="F838" s="87"/>
      <c r="G838" s="204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155"/>
      <c r="S838" s="156"/>
      <c r="T838" s="157"/>
      <c r="U838" s="173"/>
      <c r="V838" s="157"/>
      <c r="W838" s="157"/>
      <c r="X838" s="87"/>
      <c r="Y838" s="87"/>
      <c r="Z838" s="87"/>
      <c r="AA838" s="87"/>
    </row>
    <row r="839" ht="12" customHeight="1" spans="1:27">
      <c r="A839" s="87"/>
      <c r="B839" s="87"/>
      <c r="C839" s="87"/>
      <c r="D839" s="87"/>
      <c r="E839" s="203"/>
      <c r="F839" s="87"/>
      <c r="G839" s="204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155"/>
      <c r="S839" s="156"/>
      <c r="T839" s="157"/>
      <c r="U839" s="173"/>
      <c r="V839" s="157"/>
      <c r="W839" s="157"/>
      <c r="X839" s="87"/>
      <c r="Y839" s="87"/>
      <c r="Z839" s="87"/>
      <c r="AA839" s="87"/>
    </row>
    <row r="840" ht="12" customHeight="1" spans="1:27">
      <c r="A840" s="87"/>
      <c r="B840" s="87"/>
      <c r="C840" s="87"/>
      <c r="D840" s="87"/>
      <c r="E840" s="203"/>
      <c r="F840" s="87"/>
      <c r="G840" s="204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155"/>
      <c r="S840" s="156"/>
      <c r="T840" s="157"/>
      <c r="U840" s="173"/>
      <c r="V840" s="157"/>
      <c r="W840" s="157"/>
      <c r="X840" s="87"/>
      <c r="Y840" s="87"/>
      <c r="Z840" s="87"/>
      <c r="AA840" s="87"/>
    </row>
    <row r="841" ht="12" customHeight="1" spans="1:27">
      <c r="A841" s="87"/>
      <c r="B841" s="87"/>
      <c r="C841" s="87"/>
      <c r="D841" s="87"/>
      <c r="E841" s="203"/>
      <c r="F841" s="87"/>
      <c r="G841" s="204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155"/>
      <c r="S841" s="156"/>
      <c r="T841" s="157"/>
      <c r="U841" s="173"/>
      <c r="V841" s="157"/>
      <c r="W841" s="157"/>
      <c r="X841" s="87"/>
      <c r="Y841" s="87"/>
      <c r="Z841" s="87"/>
      <c r="AA841" s="87"/>
    </row>
    <row r="842" ht="12" customHeight="1" spans="1:27">
      <c r="A842" s="87"/>
      <c r="B842" s="87"/>
      <c r="C842" s="87"/>
      <c r="D842" s="87"/>
      <c r="E842" s="203"/>
      <c r="F842" s="87"/>
      <c r="G842" s="204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155"/>
      <c r="S842" s="156"/>
      <c r="T842" s="157"/>
      <c r="U842" s="173"/>
      <c r="V842" s="157"/>
      <c r="W842" s="157"/>
      <c r="X842" s="87"/>
      <c r="Y842" s="87"/>
      <c r="Z842" s="87"/>
      <c r="AA842" s="87"/>
    </row>
    <row r="843" ht="12" customHeight="1" spans="1:27">
      <c r="A843" s="87"/>
      <c r="B843" s="87"/>
      <c r="C843" s="87"/>
      <c r="D843" s="87"/>
      <c r="E843" s="203"/>
      <c r="F843" s="87"/>
      <c r="G843" s="204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155"/>
      <c r="S843" s="156"/>
      <c r="T843" s="157"/>
      <c r="U843" s="173"/>
      <c r="V843" s="157"/>
      <c r="W843" s="157"/>
      <c r="X843" s="87"/>
      <c r="Y843" s="87"/>
      <c r="Z843" s="87"/>
      <c r="AA843" s="87"/>
    </row>
    <row r="844" ht="12" customHeight="1" spans="1:27">
      <c r="A844" s="87"/>
      <c r="B844" s="87"/>
      <c r="C844" s="87"/>
      <c r="D844" s="87"/>
      <c r="E844" s="203"/>
      <c r="F844" s="87"/>
      <c r="G844" s="204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155"/>
      <c r="S844" s="156"/>
      <c r="T844" s="157"/>
      <c r="U844" s="173"/>
      <c r="V844" s="157"/>
      <c r="W844" s="157"/>
      <c r="X844" s="87"/>
      <c r="Y844" s="87"/>
      <c r="Z844" s="87"/>
      <c r="AA844" s="87"/>
    </row>
    <row r="845" ht="12" customHeight="1" spans="1:27">
      <c r="A845" s="87"/>
      <c r="B845" s="87"/>
      <c r="C845" s="87"/>
      <c r="D845" s="87"/>
      <c r="E845" s="203"/>
      <c r="F845" s="87"/>
      <c r="G845" s="204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155"/>
      <c r="S845" s="156"/>
      <c r="T845" s="157"/>
      <c r="U845" s="173"/>
      <c r="V845" s="157"/>
      <c r="W845" s="157"/>
      <c r="X845" s="87"/>
      <c r="Y845" s="87"/>
      <c r="Z845" s="87"/>
      <c r="AA845" s="87"/>
    </row>
    <row r="846" ht="12" customHeight="1" spans="1:27">
      <c r="A846" s="87"/>
      <c r="B846" s="87"/>
      <c r="C846" s="87"/>
      <c r="D846" s="87"/>
      <c r="E846" s="203"/>
      <c r="F846" s="87"/>
      <c r="G846" s="204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155"/>
      <c r="S846" s="156"/>
      <c r="T846" s="157"/>
      <c r="U846" s="173"/>
      <c r="V846" s="157"/>
      <c r="W846" s="157"/>
      <c r="X846" s="87"/>
      <c r="Y846" s="87"/>
      <c r="Z846" s="87"/>
      <c r="AA846" s="87"/>
    </row>
    <row r="847" ht="12" customHeight="1" spans="1:27">
      <c r="A847" s="87"/>
      <c r="B847" s="87"/>
      <c r="C847" s="87"/>
      <c r="D847" s="87"/>
      <c r="E847" s="203"/>
      <c r="F847" s="87"/>
      <c r="G847" s="204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155"/>
      <c r="S847" s="156"/>
      <c r="T847" s="157"/>
      <c r="U847" s="173"/>
      <c r="V847" s="157"/>
      <c r="W847" s="157"/>
      <c r="X847" s="87"/>
      <c r="Y847" s="87"/>
      <c r="Z847" s="87"/>
      <c r="AA847" s="87"/>
    </row>
    <row r="848" ht="12" customHeight="1" spans="1:27">
      <c r="A848" s="87"/>
      <c r="B848" s="87"/>
      <c r="C848" s="87"/>
      <c r="D848" s="87"/>
      <c r="E848" s="203"/>
      <c r="F848" s="87"/>
      <c r="G848" s="204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155"/>
      <c r="S848" s="156"/>
      <c r="T848" s="157"/>
      <c r="U848" s="173"/>
      <c r="V848" s="157"/>
      <c r="W848" s="157"/>
      <c r="X848" s="87"/>
      <c r="Y848" s="87"/>
      <c r="Z848" s="87"/>
      <c r="AA848" s="87"/>
    </row>
    <row r="849" ht="12" customHeight="1" spans="1:27">
      <c r="A849" s="87"/>
      <c r="B849" s="87"/>
      <c r="C849" s="87"/>
      <c r="D849" s="87"/>
      <c r="E849" s="203"/>
      <c r="F849" s="87"/>
      <c r="G849" s="204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155"/>
      <c r="S849" s="156"/>
      <c r="T849" s="157"/>
      <c r="U849" s="173"/>
      <c r="V849" s="157"/>
      <c r="W849" s="157"/>
      <c r="X849" s="87"/>
      <c r="Y849" s="87"/>
      <c r="Z849" s="87"/>
      <c r="AA849" s="87"/>
    </row>
    <row r="850" ht="12" customHeight="1" spans="1:27">
      <c r="A850" s="87"/>
      <c r="B850" s="87"/>
      <c r="C850" s="87"/>
      <c r="D850" s="87"/>
      <c r="E850" s="203"/>
      <c r="F850" s="87"/>
      <c r="G850" s="204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155"/>
      <c r="S850" s="156"/>
      <c r="T850" s="157"/>
      <c r="U850" s="173"/>
      <c r="V850" s="157"/>
      <c r="W850" s="157"/>
      <c r="X850" s="87"/>
      <c r="Y850" s="87"/>
      <c r="Z850" s="87"/>
      <c r="AA850" s="87"/>
    </row>
    <row r="851" ht="12" customHeight="1" spans="1:27">
      <c r="A851" s="87"/>
      <c r="B851" s="87"/>
      <c r="C851" s="87"/>
      <c r="D851" s="87"/>
      <c r="E851" s="203"/>
      <c r="F851" s="87"/>
      <c r="G851" s="204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155"/>
      <c r="S851" s="156"/>
      <c r="T851" s="157"/>
      <c r="U851" s="173"/>
      <c r="V851" s="157"/>
      <c r="W851" s="157"/>
      <c r="X851" s="87"/>
      <c r="Y851" s="87"/>
      <c r="Z851" s="87"/>
      <c r="AA851" s="87"/>
    </row>
    <row r="852" ht="12" customHeight="1" spans="1:27">
      <c r="A852" s="87"/>
      <c r="B852" s="87"/>
      <c r="C852" s="87"/>
      <c r="D852" s="87"/>
      <c r="E852" s="203"/>
      <c r="F852" s="87"/>
      <c r="G852" s="204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155"/>
      <c r="S852" s="156"/>
      <c r="T852" s="157"/>
      <c r="U852" s="173"/>
      <c r="V852" s="157"/>
      <c r="W852" s="157"/>
      <c r="X852" s="87"/>
      <c r="Y852" s="87"/>
      <c r="Z852" s="87"/>
      <c r="AA852" s="87"/>
    </row>
    <row r="853" ht="12" customHeight="1" spans="1:27">
      <c r="A853" s="87"/>
      <c r="B853" s="87"/>
      <c r="C853" s="87"/>
      <c r="D853" s="87"/>
      <c r="E853" s="203"/>
      <c r="F853" s="87"/>
      <c r="G853" s="204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155"/>
      <c r="S853" s="156"/>
      <c r="T853" s="157"/>
      <c r="U853" s="173"/>
      <c r="V853" s="157"/>
      <c r="W853" s="157"/>
      <c r="X853" s="87"/>
      <c r="Y853" s="87"/>
      <c r="Z853" s="87"/>
      <c r="AA853" s="87"/>
    </row>
    <row r="854" ht="12" customHeight="1" spans="1:27">
      <c r="A854" s="87"/>
      <c r="B854" s="87"/>
      <c r="C854" s="87"/>
      <c r="D854" s="87"/>
      <c r="E854" s="203"/>
      <c r="F854" s="87"/>
      <c r="G854" s="204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155"/>
      <c r="S854" s="156"/>
      <c r="T854" s="157"/>
      <c r="U854" s="173"/>
      <c r="V854" s="157"/>
      <c r="W854" s="157"/>
      <c r="X854" s="87"/>
      <c r="Y854" s="87"/>
      <c r="Z854" s="87"/>
      <c r="AA854" s="87"/>
    </row>
    <row r="855" ht="12" customHeight="1" spans="1:27">
      <c r="A855" s="87"/>
      <c r="B855" s="87"/>
      <c r="C855" s="87"/>
      <c r="D855" s="87"/>
      <c r="E855" s="203"/>
      <c r="F855" s="87"/>
      <c r="G855" s="204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155"/>
      <c r="S855" s="156"/>
      <c r="T855" s="157"/>
      <c r="U855" s="173"/>
      <c r="V855" s="157"/>
      <c r="W855" s="157"/>
      <c r="X855" s="87"/>
      <c r="Y855" s="87"/>
      <c r="Z855" s="87"/>
      <c r="AA855" s="87"/>
    </row>
    <row r="856" ht="12" customHeight="1" spans="1:27">
      <c r="A856" s="87"/>
      <c r="B856" s="87"/>
      <c r="C856" s="87"/>
      <c r="D856" s="87"/>
      <c r="E856" s="203"/>
      <c r="F856" s="87"/>
      <c r="G856" s="204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155"/>
      <c r="S856" s="156"/>
      <c r="T856" s="157"/>
      <c r="U856" s="173"/>
      <c r="V856" s="157"/>
      <c r="W856" s="157"/>
      <c r="X856" s="87"/>
      <c r="Y856" s="87"/>
      <c r="Z856" s="87"/>
      <c r="AA856" s="87"/>
    </row>
    <row r="857" ht="12" customHeight="1" spans="1:27">
      <c r="A857" s="87"/>
      <c r="B857" s="87"/>
      <c r="C857" s="87"/>
      <c r="D857" s="87"/>
      <c r="E857" s="203"/>
      <c r="F857" s="87"/>
      <c r="G857" s="204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155"/>
      <c r="S857" s="156"/>
      <c r="T857" s="157"/>
      <c r="U857" s="173"/>
      <c r="V857" s="157"/>
      <c r="W857" s="157"/>
      <c r="X857" s="87"/>
      <c r="Y857" s="87"/>
      <c r="Z857" s="87"/>
      <c r="AA857" s="87"/>
    </row>
    <row r="858" ht="12" customHeight="1" spans="1:27">
      <c r="A858" s="87"/>
      <c r="B858" s="87"/>
      <c r="C858" s="87"/>
      <c r="D858" s="87"/>
      <c r="E858" s="203"/>
      <c r="F858" s="87"/>
      <c r="G858" s="204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155"/>
      <c r="S858" s="156"/>
      <c r="T858" s="157"/>
      <c r="U858" s="173"/>
      <c r="V858" s="157"/>
      <c r="W858" s="157"/>
      <c r="X858" s="87"/>
      <c r="Y858" s="87"/>
      <c r="Z858" s="87"/>
      <c r="AA858" s="87"/>
    </row>
    <row r="859" ht="12" customHeight="1" spans="1:27">
      <c r="A859" s="87"/>
      <c r="B859" s="87"/>
      <c r="C859" s="87"/>
      <c r="D859" s="87"/>
      <c r="E859" s="203"/>
      <c r="F859" s="87"/>
      <c r="G859" s="204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155"/>
      <c r="S859" s="156"/>
      <c r="T859" s="157"/>
      <c r="U859" s="173"/>
      <c r="V859" s="157"/>
      <c r="W859" s="157"/>
      <c r="X859" s="87"/>
      <c r="Y859" s="87"/>
      <c r="Z859" s="87"/>
      <c r="AA859" s="87"/>
    </row>
    <row r="860" ht="12" customHeight="1" spans="1:27">
      <c r="A860" s="87"/>
      <c r="B860" s="87"/>
      <c r="C860" s="87"/>
      <c r="D860" s="87"/>
      <c r="E860" s="203"/>
      <c r="F860" s="87"/>
      <c r="G860" s="204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155"/>
      <c r="S860" s="156"/>
      <c r="T860" s="157"/>
      <c r="U860" s="173"/>
      <c r="V860" s="157"/>
      <c r="W860" s="157"/>
      <c r="X860" s="87"/>
      <c r="Y860" s="87"/>
      <c r="Z860" s="87"/>
      <c r="AA860" s="87"/>
    </row>
    <row r="861" ht="12" customHeight="1" spans="1:27">
      <c r="A861" s="87"/>
      <c r="B861" s="87"/>
      <c r="C861" s="87"/>
      <c r="D861" s="87"/>
      <c r="E861" s="203"/>
      <c r="F861" s="87"/>
      <c r="G861" s="204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155"/>
      <c r="S861" s="156"/>
      <c r="T861" s="157"/>
      <c r="U861" s="173"/>
      <c r="V861" s="157"/>
      <c r="W861" s="157"/>
      <c r="X861" s="87"/>
      <c r="Y861" s="87"/>
      <c r="Z861" s="87"/>
      <c r="AA861" s="87"/>
    </row>
    <row r="862" ht="12" customHeight="1" spans="1:27">
      <c r="A862" s="87"/>
      <c r="B862" s="87"/>
      <c r="C862" s="87"/>
      <c r="D862" s="87"/>
      <c r="E862" s="203"/>
      <c r="F862" s="87"/>
      <c r="G862" s="204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155"/>
      <c r="S862" s="156"/>
      <c r="T862" s="157"/>
      <c r="U862" s="173"/>
      <c r="V862" s="157"/>
      <c r="W862" s="157"/>
      <c r="X862" s="87"/>
      <c r="Y862" s="87"/>
      <c r="Z862" s="87"/>
      <c r="AA862" s="87"/>
    </row>
    <row r="863" ht="12" customHeight="1" spans="1:27">
      <c r="A863" s="87"/>
      <c r="B863" s="87"/>
      <c r="C863" s="87"/>
      <c r="D863" s="87"/>
      <c r="E863" s="203"/>
      <c r="F863" s="87"/>
      <c r="G863" s="204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155"/>
      <c r="S863" s="156"/>
      <c r="T863" s="157"/>
      <c r="U863" s="173"/>
      <c r="V863" s="157"/>
      <c r="W863" s="157"/>
      <c r="X863" s="87"/>
      <c r="Y863" s="87"/>
      <c r="Z863" s="87"/>
      <c r="AA863" s="87"/>
    </row>
    <row r="864" ht="12" customHeight="1" spans="1:27">
      <c r="A864" s="87"/>
      <c r="B864" s="87"/>
      <c r="C864" s="87"/>
      <c r="D864" s="87"/>
      <c r="E864" s="203"/>
      <c r="F864" s="87"/>
      <c r="G864" s="204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155"/>
      <c r="S864" s="156"/>
      <c r="T864" s="157"/>
      <c r="U864" s="173"/>
      <c r="V864" s="157"/>
      <c r="W864" s="157"/>
      <c r="X864" s="87"/>
      <c r="Y864" s="87"/>
      <c r="Z864" s="87"/>
      <c r="AA864" s="87"/>
    </row>
    <row r="865" ht="12" customHeight="1" spans="1:27">
      <c r="A865" s="87"/>
      <c r="B865" s="87"/>
      <c r="C865" s="87"/>
      <c r="D865" s="87"/>
      <c r="E865" s="203"/>
      <c r="F865" s="87"/>
      <c r="G865" s="204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155"/>
      <c r="S865" s="156"/>
      <c r="T865" s="157"/>
      <c r="U865" s="173"/>
      <c r="V865" s="157"/>
      <c r="W865" s="157"/>
      <c r="X865" s="87"/>
      <c r="Y865" s="87"/>
      <c r="Z865" s="87"/>
      <c r="AA865" s="87"/>
    </row>
    <row r="866" ht="12" customHeight="1" spans="1:27">
      <c r="A866" s="87"/>
      <c r="B866" s="87"/>
      <c r="C866" s="87"/>
      <c r="D866" s="87"/>
      <c r="E866" s="203"/>
      <c r="F866" s="87"/>
      <c r="G866" s="204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155"/>
      <c r="S866" s="156"/>
      <c r="T866" s="157"/>
      <c r="U866" s="173"/>
      <c r="V866" s="157"/>
      <c r="W866" s="157"/>
      <c r="X866" s="87"/>
      <c r="Y866" s="87"/>
      <c r="Z866" s="87"/>
      <c r="AA866" s="87"/>
    </row>
    <row r="867" ht="12" customHeight="1" spans="1:27">
      <c r="A867" s="87"/>
      <c r="B867" s="87"/>
      <c r="C867" s="87"/>
      <c r="D867" s="87"/>
      <c r="E867" s="203"/>
      <c r="F867" s="87"/>
      <c r="G867" s="204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155"/>
      <c r="S867" s="156"/>
      <c r="T867" s="157"/>
      <c r="U867" s="173"/>
      <c r="V867" s="157"/>
      <c r="W867" s="157"/>
      <c r="X867" s="87"/>
      <c r="Y867" s="87"/>
      <c r="Z867" s="87"/>
      <c r="AA867" s="87"/>
    </row>
    <row r="868" ht="12" customHeight="1" spans="1:27">
      <c r="A868" s="87"/>
      <c r="B868" s="87"/>
      <c r="C868" s="87"/>
      <c r="D868" s="87"/>
      <c r="E868" s="203"/>
      <c r="F868" s="87"/>
      <c r="G868" s="204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155"/>
      <c r="S868" s="156"/>
      <c r="T868" s="157"/>
      <c r="U868" s="173"/>
      <c r="V868" s="157"/>
      <c r="W868" s="157"/>
      <c r="X868" s="87"/>
      <c r="Y868" s="87"/>
      <c r="Z868" s="87"/>
      <c r="AA868" s="87"/>
    </row>
    <row r="869" ht="12" customHeight="1" spans="1:27">
      <c r="A869" s="87"/>
      <c r="B869" s="87"/>
      <c r="C869" s="87"/>
      <c r="D869" s="87"/>
      <c r="E869" s="203"/>
      <c r="F869" s="87"/>
      <c r="G869" s="204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155"/>
      <c r="S869" s="156"/>
      <c r="T869" s="157"/>
      <c r="U869" s="173"/>
      <c r="V869" s="157"/>
      <c r="W869" s="157"/>
      <c r="X869" s="87"/>
      <c r="Y869" s="87"/>
      <c r="Z869" s="87"/>
      <c r="AA869" s="87"/>
    </row>
    <row r="870" ht="12" customHeight="1" spans="1:27">
      <c r="A870" s="87"/>
      <c r="B870" s="87"/>
      <c r="C870" s="87"/>
      <c r="D870" s="87"/>
      <c r="E870" s="203"/>
      <c r="F870" s="87"/>
      <c r="G870" s="204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155"/>
      <c r="S870" s="156"/>
      <c r="T870" s="157"/>
      <c r="U870" s="173"/>
      <c r="V870" s="157"/>
      <c r="W870" s="157"/>
      <c r="X870" s="87"/>
      <c r="Y870" s="87"/>
      <c r="Z870" s="87"/>
      <c r="AA870" s="87"/>
    </row>
    <row r="871" ht="12" customHeight="1" spans="1:27">
      <c r="A871" s="87"/>
      <c r="B871" s="87"/>
      <c r="C871" s="87"/>
      <c r="D871" s="87"/>
      <c r="E871" s="203"/>
      <c r="F871" s="87"/>
      <c r="G871" s="204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155"/>
      <c r="S871" s="156"/>
      <c r="T871" s="157"/>
      <c r="U871" s="173"/>
      <c r="V871" s="157"/>
      <c r="W871" s="157"/>
      <c r="X871" s="87"/>
      <c r="Y871" s="87"/>
      <c r="Z871" s="87"/>
      <c r="AA871" s="87"/>
    </row>
    <row r="872" ht="12" customHeight="1" spans="1:27">
      <c r="A872" s="87"/>
      <c r="B872" s="87"/>
      <c r="C872" s="87"/>
      <c r="D872" s="87"/>
      <c r="E872" s="203"/>
      <c r="F872" s="87"/>
      <c r="G872" s="204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155"/>
      <c r="S872" s="156"/>
      <c r="T872" s="157"/>
      <c r="U872" s="173"/>
      <c r="V872" s="157"/>
      <c r="W872" s="157"/>
      <c r="X872" s="87"/>
      <c r="Y872" s="87"/>
      <c r="Z872" s="87"/>
      <c r="AA872" s="87"/>
    </row>
    <row r="873" ht="12" customHeight="1" spans="1:27">
      <c r="A873" s="87"/>
      <c r="B873" s="87"/>
      <c r="C873" s="87"/>
      <c r="D873" s="87"/>
      <c r="E873" s="203"/>
      <c r="F873" s="87"/>
      <c r="G873" s="204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155"/>
      <c r="S873" s="156"/>
      <c r="T873" s="157"/>
      <c r="U873" s="173"/>
      <c r="V873" s="157"/>
      <c r="W873" s="157"/>
      <c r="X873" s="87"/>
      <c r="Y873" s="87"/>
      <c r="Z873" s="87"/>
      <c r="AA873" s="87"/>
    </row>
    <row r="874" ht="12" customHeight="1" spans="1:27">
      <c r="A874" s="87"/>
      <c r="B874" s="87"/>
      <c r="C874" s="87"/>
      <c r="D874" s="87"/>
      <c r="E874" s="203"/>
      <c r="F874" s="87"/>
      <c r="G874" s="204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155"/>
      <c r="S874" s="156"/>
      <c r="T874" s="157"/>
      <c r="U874" s="173"/>
      <c r="V874" s="157"/>
      <c r="W874" s="157"/>
      <c r="X874" s="87"/>
      <c r="Y874" s="87"/>
      <c r="Z874" s="87"/>
      <c r="AA874" s="87"/>
    </row>
    <row r="875" ht="12" customHeight="1" spans="1:27">
      <c r="A875" s="87"/>
      <c r="B875" s="87"/>
      <c r="C875" s="87"/>
      <c r="D875" s="87"/>
      <c r="E875" s="203"/>
      <c r="F875" s="87"/>
      <c r="G875" s="204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155"/>
      <c r="S875" s="156"/>
      <c r="T875" s="157"/>
      <c r="U875" s="173"/>
      <c r="V875" s="157"/>
      <c r="W875" s="157"/>
      <c r="X875" s="87"/>
      <c r="Y875" s="87"/>
      <c r="Z875" s="87"/>
      <c r="AA875" s="87"/>
    </row>
    <row r="876" ht="12" customHeight="1" spans="1:27">
      <c r="A876" s="87"/>
      <c r="B876" s="87"/>
      <c r="C876" s="87"/>
      <c r="D876" s="87"/>
      <c r="E876" s="203"/>
      <c r="F876" s="87"/>
      <c r="G876" s="204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155"/>
      <c r="S876" s="156"/>
      <c r="T876" s="157"/>
      <c r="U876" s="173"/>
      <c r="V876" s="157"/>
      <c r="W876" s="157"/>
      <c r="X876" s="87"/>
      <c r="Y876" s="87"/>
      <c r="Z876" s="87"/>
      <c r="AA876" s="87"/>
    </row>
    <row r="877" ht="12" customHeight="1" spans="1:27">
      <c r="A877" s="87"/>
      <c r="B877" s="87"/>
      <c r="C877" s="87"/>
      <c r="D877" s="87"/>
      <c r="E877" s="203"/>
      <c r="F877" s="87"/>
      <c r="G877" s="204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155"/>
      <c r="S877" s="156"/>
      <c r="T877" s="157"/>
      <c r="U877" s="173"/>
      <c r="V877" s="157"/>
      <c r="W877" s="157"/>
      <c r="X877" s="87"/>
      <c r="Y877" s="87"/>
      <c r="Z877" s="87"/>
      <c r="AA877" s="87"/>
    </row>
    <row r="878" ht="12" customHeight="1" spans="1:27">
      <c r="A878" s="87"/>
      <c r="B878" s="87"/>
      <c r="C878" s="87"/>
      <c r="D878" s="87"/>
      <c r="E878" s="203"/>
      <c r="F878" s="87"/>
      <c r="G878" s="204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155"/>
      <c r="S878" s="156"/>
      <c r="T878" s="157"/>
      <c r="U878" s="173"/>
      <c r="V878" s="157"/>
      <c r="W878" s="157"/>
      <c r="X878" s="87"/>
      <c r="Y878" s="87"/>
      <c r="Z878" s="87"/>
      <c r="AA878" s="87"/>
    </row>
    <row r="879" ht="12" customHeight="1" spans="1:27">
      <c r="A879" s="87"/>
      <c r="B879" s="87"/>
      <c r="C879" s="87"/>
      <c r="D879" s="87"/>
      <c r="E879" s="203"/>
      <c r="F879" s="87"/>
      <c r="G879" s="204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155"/>
      <c r="S879" s="156"/>
      <c r="T879" s="157"/>
      <c r="U879" s="173"/>
      <c r="V879" s="157"/>
      <c r="W879" s="157"/>
      <c r="X879" s="87"/>
      <c r="Y879" s="87"/>
      <c r="Z879" s="87"/>
      <c r="AA879" s="87"/>
    </row>
    <row r="880" ht="12" customHeight="1" spans="1:27">
      <c r="A880" s="87"/>
      <c r="B880" s="87"/>
      <c r="C880" s="87"/>
      <c r="D880" s="87"/>
      <c r="E880" s="203"/>
      <c r="F880" s="87"/>
      <c r="G880" s="204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155"/>
      <c r="S880" s="156"/>
      <c r="T880" s="157"/>
      <c r="U880" s="173"/>
      <c r="V880" s="157"/>
      <c r="W880" s="157"/>
      <c r="X880" s="87"/>
      <c r="Y880" s="87"/>
      <c r="Z880" s="87"/>
      <c r="AA880" s="87"/>
    </row>
    <row r="881" ht="12" customHeight="1" spans="1:27">
      <c r="A881" s="87"/>
      <c r="B881" s="87"/>
      <c r="C881" s="87"/>
      <c r="D881" s="87"/>
      <c r="E881" s="203"/>
      <c r="F881" s="87"/>
      <c r="G881" s="204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155"/>
      <c r="S881" s="156"/>
      <c r="T881" s="157"/>
      <c r="U881" s="173"/>
      <c r="V881" s="157"/>
      <c r="W881" s="157"/>
      <c r="X881" s="87"/>
      <c r="Y881" s="87"/>
      <c r="Z881" s="87"/>
      <c r="AA881" s="87"/>
    </row>
    <row r="882" ht="12" customHeight="1" spans="1:27">
      <c r="A882" s="87"/>
      <c r="B882" s="87"/>
      <c r="C882" s="87"/>
      <c r="D882" s="87"/>
      <c r="E882" s="203"/>
      <c r="F882" s="87"/>
      <c r="G882" s="204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155"/>
      <c r="S882" s="156"/>
      <c r="T882" s="157"/>
      <c r="U882" s="173"/>
      <c r="V882" s="157"/>
      <c r="W882" s="157"/>
      <c r="X882" s="87"/>
      <c r="Y882" s="87"/>
      <c r="Z882" s="87"/>
      <c r="AA882" s="87"/>
    </row>
    <row r="883" ht="12" customHeight="1" spans="1:27">
      <c r="A883" s="87"/>
      <c r="B883" s="87"/>
      <c r="C883" s="87"/>
      <c r="D883" s="87"/>
      <c r="E883" s="203"/>
      <c r="F883" s="87"/>
      <c r="G883" s="204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155"/>
      <c r="S883" s="156"/>
      <c r="T883" s="157"/>
      <c r="U883" s="173"/>
      <c r="V883" s="157"/>
      <c r="W883" s="157"/>
      <c r="X883" s="87"/>
      <c r="Y883" s="87"/>
      <c r="Z883" s="87"/>
      <c r="AA883" s="87"/>
    </row>
    <row r="884" ht="12" customHeight="1" spans="1:27">
      <c r="A884" s="87"/>
      <c r="B884" s="87"/>
      <c r="C884" s="87"/>
      <c r="D884" s="87"/>
      <c r="E884" s="203"/>
      <c r="F884" s="87"/>
      <c r="G884" s="204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155"/>
      <c r="S884" s="156"/>
      <c r="T884" s="157"/>
      <c r="U884" s="173"/>
      <c r="V884" s="157"/>
      <c r="W884" s="157"/>
      <c r="X884" s="87"/>
      <c r="Y884" s="87"/>
      <c r="Z884" s="87"/>
      <c r="AA884" s="87"/>
    </row>
    <row r="885" ht="12" customHeight="1" spans="1:27">
      <c r="A885" s="87"/>
      <c r="B885" s="87"/>
      <c r="C885" s="87"/>
      <c r="D885" s="87"/>
      <c r="E885" s="203"/>
      <c r="F885" s="87"/>
      <c r="G885" s="204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155"/>
      <c r="S885" s="156"/>
      <c r="T885" s="157"/>
      <c r="U885" s="173"/>
      <c r="V885" s="157"/>
      <c r="W885" s="157"/>
      <c r="X885" s="87"/>
      <c r="Y885" s="87"/>
      <c r="Z885" s="87"/>
      <c r="AA885" s="87"/>
    </row>
    <row r="886" ht="12" customHeight="1" spans="1:27">
      <c r="A886" s="87"/>
      <c r="B886" s="87"/>
      <c r="C886" s="87"/>
      <c r="D886" s="87"/>
      <c r="E886" s="203"/>
      <c r="F886" s="87"/>
      <c r="G886" s="204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155"/>
      <c r="S886" s="156"/>
      <c r="T886" s="157"/>
      <c r="U886" s="173"/>
      <c r="V886" s="157"/>
      <c r="W886" s="157"/>
      <c r="X886" s="87"/>
      <c r="Y886" s="87"/>
      <c r="Z886" s="87"/>
      <c r="AA886" s="87"/>
    </row>
    <row r="887" ht="12" customHeight="1" spans="1:27">
      <c r="A887" s="87"/>
      <c r="B887" s="87"/>
      <c r="C887" s="87"/>
      <c r="D887" s="87"/>
      <c r="E887" s="203"/>
      <c r="F887" s="87"/>
      <c r="G887" s="204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155"/>
      <c r="S887" s="156"/>
      <c r="T887" s="157"/>
      <c r="U887" s="173"/>
      <c r="V887" s="157"/>
      <c r="W887" s="157"/>
      <c r="X887" s="87"/>
      <c r="Y887" s="87"/>
      <c r="Z887" s="87"/>
      <c r="AA887" s="87"/>
    </row>
    <row r="888" ht="12" customHeight="1" spans="1:27">
      <c r="A888" s="87"/>
      <c r="B888" s="87"/>
      <c r="C888" s="87"/>
      <c r="D888" s="87"/>
      <c r="E888" s="203"/>
      <c r="F888" s="87"/>
      <c r="G888" s="204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155"/>
      <c r="S888" s="156"/>
      <c r="T888" s="157"/>
      <c r="U888" s="173"/>
      <c r="V888" s="157"/>
      <c r="W888" s="157"/>
      <c r="X888" s="87"/>
      <c r="Y888" s="87"/>
      <c r="Z888" s="87"/>
      <c r="AA888" s="87"/>
    </row>
    <row r="889" ht="12" customHeight="1" spans="1:27">
      <c r="A889" s="87"/>
      <c r="B889" s="87"/>
      <c r="C889" s="87"/>
      <c r="D889" s="87"/>
      <c r="E889" s="203"/>
      <c r="F889" s="87"/>
      <c r="G889" s="204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155"/>
      <c r="S889" s="156"/>
      <c r="T889" s="157"/>
      <c r="U889" s="173"/>
      <c r="V889" s="157"/>
      <c r="W889" s="157"/>
      <c r="X889" s="87"/>
      <c r="Y889" s="87"/>
      <c r="Z889" s="87"/>
      <c r="AA889" s="87"/>
    </row>
    <row r="890" ht="12" customHeight="1" spans="1:27">
      <c r="A890" s="87"/>
      <c r="B890" s="87"/>
      <c r="C890" s="87"/>
      <c r="D890" s="87"/>
      <c r="E890" s="203"/>
      <c r="F890" s="87"/>
      <c r="G890" s="204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155"/>
      <c r="S890" s="156"/>
      <c r="T890" s="157"/>
      <c r="U890" s="173"/>
      <c r="V890" s="157"/>
      <c r="W890" s="157"/>
      <c r="X890" s="87"/>
      <c r="Y890" s="87"/>
      <c r="Z890" s="87"/>
      <c r="AA890" s="87"/>
    </row>
    <row r="891" ht="12" customHeight="1" spans="1:27">
      <c r="A891" s="87"/>
      <c r="B891" s="87"/>
      <c r="C891" s="87"/>
      <c r="D891" s="87"/>
      <c r="E891" s="203"/>
      <c r="F891" s="87"/>
      <c r="G891" s="204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155"/>
      <c r="S891" s="156"/>
      <c r="T891" s="157"/>
      <c r="U891" s="173"/>
      <c r="V891" s="157"/>
      <c r="W891" s="157"/>
      <c r="X891" s="87"/>
      <c r="Y891" s="87"/>
      <c r="Z891" s="87"/>
      <c r="AA891" s="87"/>
    </row>
    <row r="892" ht="12" customHeight="1" spans="1:27">
      <c r="A892" s="87"/>
      <c r="B892" s="87"/>
      <c r="C892" s="87"/>
      <c r="D892" s="87"/>
      <c r="E892" s="203"/>
      <c r="F892" s="87"/>
      <c r="G892" s="204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155"/>
      <c r="S892" s="156"/>
      <c r="T892" s="157"/>
      <c r="U892" s="173"/>
      <c r="V892" s="157"/>
      <c r="W892" s="157"/>
      <c r="X892" s="87"/>
      <c r="Y892" s="87"/>
      <c r="Z892" s="87"/>
      <c r="AA892" s="87"/>
    </row>
    <row r="893" ht="12" customHeight="1" spans="1:27">
      <c r="A893" s="87"/>
      <c r="B893" s="87"/>
      <c r="C893" s="87"/>
      <c r="D893" s="87"/>
      <c r="E893" s="203"/>
      <c r="F893" s="87"/>
      <c r="G893" s="204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155"/>
      <c r="S893" s="156"/>
      <c r="T893" s="157"/>
      <c r="U893" s="173"/>
      <c r="V893" s="157"/>
      <c r="W893" s="157"/>
      <c r="X893" s="87"/>
      <c r="Y893" s="87"/>
      <c r="Z893" s="87"/>
      <c r="AA893" s="87"/>
    </row>
    <row r="894" ht="12" customHeight="1" spans="1:27">
      <c r="A894" s="87"/>
      <c r="B894" s="87"/>
      <c r="C894" s="87"/>
      <c r="D894" s="87"/>
      <c r="E894" s="203"/>
      <c r="F894" s="87"/>
      <c r="G894" s="204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155"/>
      <c r="S894" s="156"/>
      <c r="T894" s="157"/>
      <c r="U894" s="173"/>
      <c r="V894" s="157"/>
      <c r="W894" s="157"/>
      <c r="X894" s="87"/>
      <c r="Y894" s="87"/>
      <c r="Z894" s="87"/>
      <c r="AA894" s="87"/>
    </row>
    <row r="895" ht="12" customHeight="1" spans="1:27">
      <c r="A895" s="87"/>
      <c r="B895" s="87"/>
      <c r="C895" s="87"/>
      <c r="D895" s="87"/>
      <c r="E895" s="203"/>
      <c r="F895" s="87"/>
      <c r="G895" s="204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155"/>
      <c r="S895" s="156"/>
      <c r="T895" s="157"/>
      <c r="U895" s="173"/>
      <c r="V895" s="157"/>
      <c r="W895" s="157"/>
      <c r="X895" s="87"/>
      <c r="Y895" s="87"/>
      <c r="Z895" s="87"/>
      <c r="AA895" s="87"/>
    </row>
    <row r="896" ht="12" customHeight="1" spans="1:27">
      <c r="A896" s="87"/>
      <c r="B896" s="87"/>
      <c r="C896" s="87"/>
      <c r="D896" s="87"/>
      <c r="E896" s="203"/>
      <c r="F896" s="87"/>
      <c r="G896" s="204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155"/>
      <c r="S896" s="156"/>
      <c r="T896" s="157"/>
      <c r="U896" s="173"/>
      <c r="V896" s="157"/>
      <c r="W896" s="157"/>
      <c r="X896" s="87"/>
      <c r="Y896" s="87"/>
      <c r="Z896" s="87"/>
      <c r="AA896" s="87"/>
    </row>
    <row r="897" ht="12" customHeight="1" spans="1:27">
      <c r="A897" s="87"/>
      <c r="B897" s="87"/>
      <c r="C897" s="87"/>
      <c r="D897" s="87"/>
      <c r="E897" s="203"/>
      <c r="F897" s="87"/>
      <c r="G897" s="204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155"/>
      <c r="S897" s="156"/>
      <c r="T897" s="157"/>
      <c r="U897" s="173"/>
      <c r="V897" s="157"/>
      <c r="W897" s="157"/>
      <c r="X897" s="87"/>
      <c r="Y897" s="87"/>
      <c r="Z897" s="87"/>
      <c r="AA897" s="87"/>
    </row>
    <row r="898" ht="12" customHeight="1" spans="1:27">
      <c r="A898" s="87"/>
      <c r="B898" s="87"/>
      <c r="C898" s="87"/>
      <c r="D898" s="87"/>
      <c r="E898" s="203"/>
      <c r="F898" s="87"/>
      <c r="G898" s="204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155"/>
      <c r="S898" s="156"/>
      <c r="T898" s="157"/>
      <c r="U898" s="173"/>
      <c r="V898" s="157"/>
      <c r="W898" s="157"/>
      <c r="X898" s="87"/>
      <c r="Y898" s="87"/>
      <c r="Z898" s="87"/>
      <c r="AA898" s="87"/>
    </row>
    <row r="899" ht="12" customHeight="1" spans="1:27">
      <c r="A899" s="87"/>
      <c r="B899" s="87"/>
      <c r="C899" s="87"/>
      <c r="D899" s="87"/>
      <c r="E899" s="203"/>
      <c r="F899" s="87"/>
      <c r="G899" s="204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155"/>
      <c r="S899" s="156"/>
      <c r="T899" s="157"/>
      <c r="U899" s="173"/>
      <c r="V899" s="157"/>
      <c r="W899" s="157"/>
      <c r="X899" s="87"/>
      <c r="Y899" s="87"/>
      <c r="Z899" s="87"/>
      <c r="AA899" s="87"/>
    </row>
    <row r="900" ht="12" customHeight="1" spans="1:27">
      <c r="A900" s="87"/>
      <c r="B900" s="87"/>
      <c r="C900" s="87"/>
      <c r="D900" s="87"/>
      <c r="E900" s="203"/>
      <c r="F900" s="87"/>
      <c r="G900" s="204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155"/>
      <c r="S900" s="156"/>
      <c r="T900" s="157"/>
      <c r="U900" s="173"/>
      <c r="V900" s="157"/>
      <c r="W900" s="157"/>
      <c r="X900" s="87"/>
      <c r="Y900" s="87"/>
      <c r="Z900" s="87"/>
      <c r="AA900" s="87"/>
    </row>
    <row r="901" ht="12" customHeight="1" spans="1:27">
      <c r="A901" s="87"/>
      <c r="B901" s="87"/>
      <c r="C901" s="87"/>
      <c r="D901" s="87"/>
      <c r="E901" s="203"/>
      <c r="F901" s="87"/>
      <c r="G901" s="204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155"/>
      <c r="S901" s="156"/>
      <c r="T901" s="157"/>
      <c r="U901" s="173"/>
      <c r="V901" s="157"/>
      <c r="W901" s="157"/>
      <c r="X901" s="87"/>
      <c r="Y901" s="87"/>
      <c r="Z901" s="87"/>
      <c r="AA901" s="87"/>
    </row>
    <row r="902" ht="12" customHeight="1" spans="1:27">
      <c r="A902" s="87"/>
      <c r="B902" s="87"/>
      <c r="C902" s="87"/>
      <c r="D902" s="87"/>
      <c r="E902" s="203"/>
      <c r="F902" s="87"/>
      <c r="G902" s="204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155"/>
      <c r="S902" s="156"/>
      <c r="T902" s="157"/>
      <c r="U902" s="173"/>
      <c r="V902" s="157"/>
      <c r="W902" s="157"/>
      <c r="X902" s="87"/>
      <c r="Y902" s="87"/>
      <c r="Z902" s="87"/>
      <c r="AA902" s="87"/>
    </row>
    <row r="903" ht="12" customHeight="1" spans="1:27">
      <c r="A903" s="87"/>
      <c r="B903" s="87"/>
      <c r="C903" s="87"/>
      <c r="D903" s="87"/>
      <c r="E903" s="203"/>
      <c r="F903" s="87"/>
      <c r="G903" s="204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155"/>
      <c r="S903" s="156"/>
      <c r="T903" s="157"/>
      <c r="U903" s="173"/>
      <c r="V903" s="157"/>
      <c r="W903" s="157"/>
      <c r="X903" s="87"/>
      <c r="Y903" s="87"/>
      <c r="Z903" s="87"/>
      <c r="AA903" s="87"/>
    </row>
    <row r="904" ht="12" customHeight="1" spans="1:27">
      <c r="A904" s="87"/>
      <c r="B904" s="87"/>
      <c r="C904" s="87"/>
      <c r="D904" s="87"/>
      <c r="E904" s="203"/>
      <c r="F904" s="87"/>
      <c r="G904" s="204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155"/>
      <c r="S904" s="156"/>
      <c r="T904" s="157"/>
      <c r="U904" s="173"/>
      <c r="V904" s="157"/>
      <c r="W904" s="157"/>
      <c r="X904" s="87"/>
      <c r="Y904" s="87"/>
      <c r="Z904" s="87"/>
      <c r="AA904" s="87"/>
    </row>
    <row r="905" ht="12" customHeight="1" spans="1:27">
      <c r="A905" s="87"/>
      <c r="B905" s="87"/>
      <c r="C905" s="87"/>
      <c r="D905" s="87"/>
      <c r="E905" s="203"/>
      <c r="F905" s="87"/>
      <c r="G905" s="204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155"/>
      <c r="S905" s="156"/>
      <c r="T905" s="157"/>
      <c r="U905" s="173"/>
      <c r="V905" s="157"/>
      <c r="W905" s="157"/>
      <c r="X905" s="87"/>
      <c r="Y905" s="87"/>
      <c r="Z905" s="87"/>
      <c r="AA905" s="87"/>
    </row>
    <row r="906" ht="12" customHeight="1" spans="1:27">
      <c r="A906" s="87"/>
      <c r="B906" s="87"/>
      <c r="C906" s="87"/>
      <c r="D906" s="87"/>
      <c r="E906" s="203"/>
      <c r="F906" s="87"/>
      <c r="G906" s="204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155"/>
      <c r="S906" s="156"/>
      <c r="T906" s="157"/>
      <c r="U906" s="173"/>
      <c r="V906" s="157"/>
      <c r="W906" s="157"/>
      <c r="X906" s="87"/>
      <c r="Y906" s="87"/>
      <c r="Z906" s="87"/>
      <c r="AA906" s="87"/>
    </row>
    <row r="907" ht="12" customHeight="1" spans="1:27">
      <c r="A907" s="87"/>
      <c r="B907" s="87"/>
      <c r="C907" s="87"/>
      <c r="D907" s="87"/>
      <c r="E907" s="203"/>
      <c r="F907" s="87"/>
      <c r="G907" s="204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155"/>
      <c r="S907" s="156"/>
      <c r="T907" s="157"/>
      <c r="U907" s="173"/>
      <c r="V907" s="157"/>
      <c r="W907" s="157"/>
      <c r="X907" s="87"/>
      <c r="Y907" s="87"/>
      <c r="Z907" s="87"/>
      <c r="AA907" s="87"/>
    </row>
    <row r="908" ht="12" customHeight="1" spans="1:27">
      <c r="A908" s="87"/>
      <c r="B908" s="87"/>
      <c r="C908" s="87"/>
      <c r="D908" s="87"/>
      <c r="E908" s="203"/>
      <c r="F908" s="87"/>
      <c r="G908" s="204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155"/>
      <c r="S908" s="156"/>
      <c r="T908" s="157"/>
      <c r="U908" s="173"/>
      <c r="V908" s="157"/>
      <c r="W908" s="157"/>
      <c r="X908" s="87"/>
      <c r="Y908" s="87"/>
      <c r="Z908" s="87"/>
      <c r="AA908" s="87"/>
    </row>
    <row r="909" ht="12" customHeight="1" spans="1:27">
      <c r="A909" s="87"/>
      <c r="B909" s="87"/>
      <c r="C909" s="87"/>
      <c r="D909" s="87"/>
      <c r="E909" s="203"/>
      <c r="F909" s="87"/>
      <c r="G909" s="204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155"/>
      <c r="S909" s="156"/>
      <c r="T909" s="157"/>
      <c r="U909" s="173"/>
      <c r="V909" s="157"/>
      <c r="W909" s="157"/>
      <c r="X909" s="87"/>
      <c r="Y909" s="87"/>
      <c r="Z909" s="87"/>
      <c r="AA909" s="87"/>
    </row>
    <row r="910" ht="12" customHeight="1" spans="1:27">
      <c r="A910" s="87"/>
      <c r="B910" s="87"/>
      <c r="C910" s="87"/>
      <c r="D910" s="87"/>
      <c r="E910" s="203"/>
      <c r="F910" s="87"/>
      <c r="G910" s="204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155"/>
      <c r="S910" s="156"/>
      <c r="T910" s="157"/>
      <c r="U910" s="173"/>
      <c r="V910" s="157"/>
      <c r="W910" s="157"/>
      <c r="X910" s="87"/>
      <c r="Y910" s="87"/>
      <c r="Z910" s="87"/>
      <c r="AA910" s="87"/>
    </row>
    <row r="911" ht="12" customHeight="1" spans="1:27">
      <c r="A911" s="87"/>
      <c r="B911" s="87"/>
      <c r="C911" s="87"/>
      <c r="D911" s="87"/>
      <c r="E911" s="203"/>
      <c r="F911" s="87"/>
      <c r="G911" s="204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155"/>
      <c r="S911" s="156"/>
      <c r="T911" s="157"/>
      <c r="U911" s="173"/>
      <c r="V911" s="157"/>
      <c r="W911" s="157"/>
      <c r="X911" s="87"/>
      <c r="Y911" s="87"/>
      <c r="Z911" s="87"/>
      <c r="AA911" s="87"/>
    </row>
    <row r="912" ht="12" customHeight="1" spans="1:27">
      <c r="A912" s="87"/>
      <c r="B912" s="87"/>
      <c r="C912" s="87"/>
      <c r="D912" s="87"/>
      <c r="E912" s="203"/>
      <c r="F912" s="87"/>
      <c r="G912" s="204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155"/>
      <c r="S912" s="156"/>
      <c r="T912" s="157"/>
      <c r="U912" s="173"/>
      <c r="V912" s="157"/>
      <c r="W912" s="157"/>
      <c r="X912" s="87"/>
      <c r="Y912" s="87"/>
      <c r="Z912" s="87"/>
      <c r="AA912" s="87"/>
    </row>
    <row r="913" ht="12" customHeight="1" spans="1:27">
      <c r="A913" s="87"/>
      <c r="B913" s="87"/>
      <c r="C913" s="87"/>
      <c r="D913" s="87"/>
      <c r="E913" s="203"/>
      <c r="F913" s="87"/>
      <c r="G913" s="204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155"/>
      <c r="S913" s="156"/>
      <c r="T913" s="157"/>
      <c r="U913" s="173"/>
      <c r="V913" s="157"/>
      <c r="W913" s="157"/>
      <c r="X913" s="87"/>
      <c r="Y913" s="87"/>
      <c r="Z913" s="87"/>
      <c r="AA913" s="87"/>
    </row>
    <row r="914" ht="12" customHeight="1" spans="1:27">
      <c r="A914" s="87"/>
      <c r="B914" s="87"/>
      <c r="C914" s="87"/>
      <c r="D914" s="87"/>
      <c r="E914" s="203"/>
      <c r="F914" s="87"/>
      <c r="G914" s="204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155"/>
      <c r="S914" s="156"/>
      <c r="T914" s="157"/>
      <c r="U914" s="173"/>
      <c r="V914" s="157"/>
      <c r="W914" s="157"/>
      <c r="X914" s="87"/>
      <c r="Y914" s="87"/>
      <c r="Z914" s="87"/>
      <c r="AA914" s="87"/>
    </row>
    <row r="915" ht="12" customHeight="1" spans="1:27">
      <c r="A915" s="87"/>
      <c r="B915" s="87"/>
      <c r="C915" s="87"/>
      <c r="D915" s="87"/>
      <c r="E915" s="203"/>
      <c r="F915" s="87"/>
      <c r="G915" s="204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155"/>
      <c r="S915" s="156"/>
      <c r="T915" s="157"/>
      <c r="U915" s="173"/>
      <c r="V915" s="157"/>
      <c r="W915" s="157"/>
      <c r="X915" s="87"/>
      <c r="Y915" s="87"/>
      <c r="Z915" s="87"/>
      <c r="AA915" s="87"/>
    </row>
    <row r="916" ht="12" customHeight="1" spans="1:27">
      <c r="A916" s="87"/>
      <c r="B916" s="87"/>
      <c r="C916" s="87"/>
      <c r="D916" s="87"/>
      <c r="E916" s="203"/>
      <c r="F916" s="87"/>
      <c r="G916" s="204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155"/>
      <c r="S916" s="156"/>
      <c r="T916" s="157"/>
      <c r="U916" s="173"/>
      <c r="V916" s="157"/>
      <c r="W916" s="157"/>
      <c r="X916" s="87"/>
      <c r="Y916" s="87"/>
      <c r="Z916" s="87"/>
      <c r="AA916" s="87"/>
    </row>
    <row r="917" ht="12" customHeight="1" spans="1:27">
      <c r="A917" s="87"/>
      <c r="B917" s="87"/>
      <c r="C917" s="87"/>
      <c r="D917" s="87"/>
      <c r="E917" s="203"/>
      <c r="F917" s="87"/>
      <c r="G917" s="204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155"/>
      <c r="S917" s="156"/>
      <c r="T917" s="157"/>
      <c r="U917" s="173"/>
      <c r="V917" s="157"/>
      <c r="W917" s="157"/>
      <c r="X917" s="87"/>
      <c r="Y917" s="87"/>
      <c r="Z917" s="87"/>
      <c r="AA917" s="87"/>
    </row>
    <row r="918" ht="12" customHeight="1" spans="1:27">
      <c r="A918" s="87"/>
      <c r="B918" s="87"/>
      <c r="C918" s="87"/>
      <c r="D918" s="87"/>
      <c r="E918" s="203"/>
      <c r="F918" s="87"/>
      <c r="G918" s="204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155"/>
      <c r="S918" s="156"/>
      <c r="T918" s="157"/>
      <c r="U918" s="173"/>
      <c r="V918" s="157"/>
      <c r="W918" s="157"/>
      <c r="X918" s="87"/>
      <c r="Y918" s="87"/>
      <c r="Z918" s="87"/>
      <c r="AA918" s="87"/>
    </row>
    <row r="919" ht="12" customHeight="1" spans="1:27">
      <c r="A919" s="87"/>
      <c r="B919" s="87"/>
      <c r="C919" s="87"/>
      <c r="D919" s="87"/>
      <c r="E919" s="203"/>
      <c r="F919" s="87"/>
      <c r="G919" s="204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155"/>
      <c r="S919" s="156"/>
      <c r="T919" s="157"/>
      <c r="U919" s="173"/>
      <c r="V919" s="157"/>
      <c r="W919" s="157"/>
      <c r="X919" s="87"/>
      <c r="Y919" s="87"/>
      <c r="Z919" s="87"/>
      <c r="AA919" s="87"/>
    </row>
    <row r="920" ht="12" customHeight="1" spans="1:27">
      <c r="A920" s="87"/>
      <c r="B920" s="87"/>
      <c r="C920" s="87"/>
      <c r="D920" s="87"/>
      <c r="E920" s="203"/>
      <c r="F920" s="87"/>
      <c r="G920" s="204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155"/>
      <c r="S920" s="156"/>
      <c r="T920" s="157"/>
      <c r="U920" s="173"/>
      <c r="V920" s="157"/>
      <c r="W920" s="157"/>
      <c r="X920" s="87"/>
      <c r="Y920" s="87"/>
      <c r="Z920" s="87"/>
      <c r="AA920" s="87"/>
    </row>
    <row r="921" ht="12" customHeight="1" spans="1:27">
      <c r="A921" s="87"/>
      <c r="B921" s="87"/>
      <c r="C921" s="87"/>
      <c r="D921" s="87"/>
      <c r="E921" s="203"/>
      <c r="F921" s="87"/>
      <c r="G921" s="204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155"/>
      <c r="S921" s="156"/>
      <c r="T921" s="157"/>
      <c r="U921" s="173"/>
      <c r="V921" s="157"/>
      <c r="W921" s="157"/>
      <c r="X921" s="87"/>
      <c r="Y921" s="87"/>
      <c r="Z921" s="87"/>
      <c r="AA921" s="87"/>
    </row>
    <row r="922" ht="12" customHeight="1" spans="1:27">
      <c r="A922" s="87"/>
      <c r="B922" s="87"/>
      <c r="C922" s="87"/>
      <c r="D922" s="87"/>
      <c r="E922" s="203"/>
      <c r="F922" s="87"/>
      <c r="G922" s="204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155"/>
      <c r="S922" s="156"/>
      <c r="T922" s="157"/>
      <c r="U922" s="173"/>
      <c r="V922" s="157"/>
      <c r="W922" s="157"/>
      <c r="X922" s="87"/>
      <c r="Y922" s="87"/>
      <c r="Z922" s="87"/>
      <c r="AA922" s="87"/>
    </row>
    <row r="923" ht="12" customHeight="1" spans="1:27">
      <c r="A923" s="87"/>
      <c r="B923" s="87"/>
      <c r="C923" s="87"/>
      <c r="D923" s="87"/>
      <c r="E923" s="203"/>
      <c r="F923" s="87"/>
      <c r="G923" s="204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155"/>
      <c r="S923" s="156"/>
      <c r="T923" s="157"/>
      <c r="U923" s="173"/>
      <c r="V923" s="157"/>
      <c r="W923" s="157"/>
      <c r="X923" s="87"/>
      <c r="Y923" s="87"/>
      <c r="Z923" s="87"/>
      <c r="AA923" s="87"/>
    </row>
    <row r="924" ht="12" customHeight="1" spans="1:27">
      <c r="A924" s="87"/>
      <c r="B924" s="87"/>
      <c r="C924" s="87"/>
      <c r="D924" s="87"/>
      <c r="E924" s="203"/>
      <c r="F924" s="87"/>
      <c r="G924" s="204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155"/>
      <c r="S924" s="156"/>
      <c r="T924" s="157"/>
      <c r="U924" s="173"/>
      <c r="V924" s="157"/>
      <c r="W924" s="157"/>
      <c r="X924" s="87"/>
      <c r="Y924" s="87"/>
      <c r="Z924" s="87"/>
      <c r="AA924" s="87"/>
    </row>
    <row r="925" ht="12" customHeight="1" spans="1:27">
      <c r="A925" s="87"/>
      <c r="B925" s="87"/>
      <c r="C925" s="87"/>
      <c r="D925" s="87"/>
      <c r="E925" s="203"/>
      <c r="F925" s="87"/>
      <c r="G925" s="204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155"/>
      <c r="S925" s="156"/>
      <c r="T925" s="157"/>
      <c r="U925" s="173"/>
      <c r="V925" s="157"/>
      <c r="W925" s="157"/>
      <c r="X925" s="87"/>
      <c r="Y925" s="87"/>
      <c r="Z925" s="87"/>
      <c r="AA925" s="87"/>
    </row>
    <row r="926" ht="12" customHeight="1" spans="1:27">
      <c r="A926" s="87"/>
      <c r="B926" s="87"/>
      <c r="C926" s="87"/>
      <c r="D926" s="87"/>
      <c r="E926" s="203"/>
      <c r="F926" s="87"/>
      <c r="G926" s="204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155"/>
      <c r="S926" s="156"/>
      <c r="T926" s="157"/>
      <c r="U926" s="173"/>
      <c r="V926" s="157"/>
      <c r="W926" s="157"/>
      <c r="X926" s="87"/>
      <c r="Y926" s="87"/>
      <c r="Z926" s="87"/>
      <c r="AA926" s="87"/>
    </row>
    <row r="927" ht="12" customHeight="1" spans="1:27">
      <c r="A927" s="87"/>
      <c r="B927" s="87"/>
      <c r="C927" s="87"/>
      <c r="D927" s="87"/>
      <c r="E927" s="203"/>
      <c r="F927" s="87"/>
      <c r="G927" s="204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155"/>
      <c r="S927" s="156"/>
      <c r="T927" s="157"/>
      <c r="U927" s="173"/>
      <c r="V927" s="157"/>
      <c r="W927" s="157"/>
      <c r="X927" s="87"/>
      <c r="Y927" s="87"/>
      <c r="Z927" s="87"/>
      <c r="AA927" s="87"/>
    </row>
    <row r="928" ht="12" customHeight="1" spans="1:27">
      <c r="A928" s="87"/>
      <c r="B928" s="87"/>
      <c r="C928" s="87"/>
      <c r="D928" s="87"/>
      <c r="E928" s="203"/>
      <c r="F928" s="87"/>
      <c r="G928" s="204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155"/>
      <c r="S928" s="156"/>
      <c r="T928" s="157"/>
      <c r="U928" s="173"/>
      <c r="V928" s="157"/>
      <c r="W928" s="157"/>
      <c r="X928" s="87"/>
      <c r="Y928" s="87"/>
      <c r="Z928" s="87"/>
      <c r="AA928" s="87"/>
    </row>
    <row r="929" ht="12" customHeight="1" spans="1:27">
      <c r="A929" s="87"/>
      <c r="B929" s="87"/>
      <c r="C929" s="87"/>
      <c r="D929" s="87"/>
      <c r="E929" s="203"/>
      <c r="F929" s="87"/>
      <c r="G929" s="204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155"/>
      <c r="S929" s="156"/>
      <c r="T929" s="157"/>
      <c r="U929" s="173"/>
      <c r="V929" s="157"/>
      <c r="W929" s="157"/>
      <c r="X929" s="87"/>
      <c r="Y929" s="87"/>
      <c r="Z929" s="87"/>
      <c r="AA929" s="87"/>
    </row>
    <row r="930" ht="12" customHeight="1" spans="1:27">
      <c r="A930" s="87"/>
      <c r="B930" s="87"/>
      <c r="C930" s="87"/>
      <c r="D930" s="87"/>
      <c r="E930" s="203"/>
      <c r="F930" s="87"/>
      <c r="G930" s="204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155"/>
      <c r="S930" s="156"/>
      <c r="T930" s="157"/>
      <c r="U930" s="173"/>
      <c r="V930" s="157"/>
      <c r="W930" s="157"/>
      <c r="X930" s="87"/>
      <c r="Y930" s="87"/>
      <c r="Z930" s="87"/>
      <c r="AA930" s="87"/>
    </row>
    <row r="931" ht="12" customHeight="1" spans="1:27">
      <c r="A931" s="87"/>
      <c r="B931" s="87"/>
      <c r="C931" s="87"/>
      <c r="D931" s="87"/>
      <c r="E931" s="203"/>
      <c r="F931" s="87"/>
      <c r="G931" s="204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155"/>
      <c r="S931" s="156"/>
      <c r="T931" s="157"/>
      <c r="U931" s="173"/>
      <c r="V931" s="157"/>
      <c r="W931" s="157"/>
      <c r="X931" s="87"/>
      <c r="Y931" s="87"/>
      <c r="Z931" s="87"/>
      <c r="AA931" s="87"/>
    </row>
    <row r="932" ht="12" customHeight="1" spans="1:27">
      <c r="A932" s="87"/>
      <c r="B932" s="87"/>
      <c r="C932" s="87"/>
      <c r="D932" s="87"/>
      <c r="E932" s="203"/>
      <c r="F932" s="87"/>
      <c r="G932" s="204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155"/>
      <c r="S932" s="156"/>
      <c r="T932" s="157"/>
      <c r="U932" s="173"/>
      <c r="V932" s="157"/>
      <c r="W932" s="157"/>
      <c r="X932" s="87"/>
      <c r="Y932" s="87"/>
      <c r="Z932" s="87"/>
      <c r="AA932" s="87"/>
    </row>
    <row r="933" ht="12" customHeight="1" spans="1:27">
      <c r="A933" s="87"/>
      <c r="B933" s="87"/>
      <c r="C933" s="87"/>
      <c r="D933" s="87"/>
      <c r="E933" s="203"/>
      <c r="F933" s="87"/>
      <c r="G933" s="204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155"/>
      <c r="S933" s="156"/>
      <c r="T933" s="157"/>
      <c r="U933" s="173"/>
      <c r="V933" s="157"/>
      <c r="W933" s="157"/>
      <c r="X933" s="87"/>
      <c r="Y933" s="87"/>
      <c r="Z933" s="87"/>
      <c r="AA933" s="87"/>
    </row>
    <row r="934" ht="12" customHeight="1" spans="1:27">
      <c r="A934" s="87"/>
      <c r="B934" s="87"/>
      <c r="C934" s="87"/>
      <c r="D934" s="87"/>
      <c r="E934" s="203"/>
      <c r="F934" s="87"/>
      <c r="G934" s="204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155"/>
      <c r="S934" s="156"/>
      <c r="T934" s="157"/>
      <c r="U934" s="173"/>
      <c r="V934" s="157"/>
      <c r="W934" s="157"/>
      <c r="X934" s="87"/>
      <c r="Y934" s="87"/>
      <c r="Z934" s="87"/>
      <c r="AA934" s="87"/>
    </row>
    <row r="935" ht="12" customHeight="1" spans="1:27">
      <c r="A935" s="87"/>
      <c r="B935" s="87"/>
      <c r="C935" s="87"/>
      <c r="D935" s="87"/>
      <c r="E935" s="203"/>
      <c r="F935" s="87"/>
      <c r="G935" s="204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155"/>
      <c r="S935" s="156"/>
      <c r="T935" s="157"/>
      <c r="U935" s="173"/>
      <c r="V935" s="157"/>
      <c r="W935" s="157"/>
      <c r="X935" s="87"/>
      <c r="Y935" s="87"/>
      <c r="Z935" s="87"/>
      <c r="AA935" s="87"/>
    </row>
    <row r="936" ht="12" customHeight="1" spans="1:27">
      <c r="A936" s="87"/>
      <c r="B936" s="87"/>
      <c r="C936" s="87"/>
      <c r="D936" s="87"/>
      <c r="E936" s="203"/>
      <c r="F936" s="87"/>
      <c r="G936" s="204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155"/>
      <c r="S936" s="156"/>
      <c r="T936" s="157"/>
      <c r="U936" s="173"/>
      <c r="V936" s="157"/>
      <c r="W936" s="157"/>
      <c r="X936" s="87"/>
      <c r="Y936" s="87"/>
      <c r="Z936" s="87"/>
      <c r="AA936" s="87"/>
    </row>
    <row r="937" ht="12" customHeight="1" spans="1:27">
      <c r="A937" s="87"/>
      <c r="B937" s="87"/>
      <c r="C937" s="87"/>
      <c r="D937" s="87"/>
      <c r="E937" s="203"/>
      <c r="F937" s="87"/>
      <c r="G937" s="204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155"/>
      <c r="S937" s="156"/>
      <c r="T937" s="157"/>
      <c r="U937" s="173"/>
      <c r="V937" s="157"/>
      <c r="W937" s="157"/>
      <c r="X937" s="87"/>
      <c r="Y937" s="87"/>
      <c r="Z937" s="87"/>
      <c r="AA937" s="87"/>
    </row>
    <row r="938" ht="12" customHeight="1" spans="1:27">
      <c r="A938" s="87"/>
      <c r="B938" s="87"/>
      <c r="C938" s="87"/>
      <c r="D938" s="87"/>
      <c r="E938" s="203"/>
      <c r="F938" s="87"/>
      <c r="G938" s="204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155"/>
      <c r="S938" s="156"/>
      <c r="T938" s="157"/>
      <c r="U938" s="173"/>
      <c r="V938" s="157"/>
      <c r="W938" s="157"/>
      <c r="X938" s="87"/>
      <c r="Y938" s="87"/>
      <c r="Z938" s="87"/>
      <c r="AA938" s="87"/>
    </row>
    <row r="939" ht="12" customHeight="1" spans="1:27">
      <c r="A939" s="87"/>
      <c r="B939" s="87"/>
      <c r="C939" s="87"/>
      <c r="D939" s="87"/>
      <c r="E939" s="203"/>
      <c r="F939" s="87"/>
      <c r="G939" s="204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155"/>
      <c r="S939" s="156"/>
      <c r="T939" s="157"/>
      <c r="U939" s="173"/>
      <c r="V939" s="157"/>
      <c r="W939" s="157"/>
      <c r="X939" s="87"/>
      <c r="Y939" s="87"/>
      <c r="Z939" s="87"/>
      <c r="AA939" s="87"/>
    </row>
    <row r="940" ht="12" customHeight="1" spans="1:27">
      <c r="A940" s="87"/>
      <c r="B940" s="87"/>
      <c r="C940" s="87"/>
      <c r="D940" s="87"/>
      <c r="E940" s="203"/>
      <c r="F940" s="87"/>
      <c r="G940" s="204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155"/>
      <c r="S940" s="156"/>
      <c r="T940" s="157"/>
      <c r="U940" s="173"/>
      <c r="V940" s="157"/>
      <c r="W940" s="157"/>
      <c r="X940" s="87"/>
      <c r="Y940" s="87"/>
      <c r="Z940" s="87"/>
      <c r="AA940" s="87"/>
    </row>
    <row r="941" ht="12" customHeight="1" spans="1:27">
      <c r="A941" s="87"/>
      <c r="B941" s="87"/>
      <c r="C941" s="87"/>
      <c r="D941" s="87"/>
      <c r="E941" s="203"/>
      <c r="F941" s="87"/>
      <c r="G941" s="204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155"/>
      <c r="S941" s="156"/>
      <c r="T941" s="157"/>
      <c r="U941" s="173"/>
      <c r="V941" s="157"/>
      <c r="W941" s="157"/>
      <c r="X941" s="87"/>
      <c r="Y941" s="87"/>
      <c r="Z941" s="87"/>
      <c r="AA941" s="87"/>
    </row>
    <row r="942" ht="12" customHeight="1" spans="1:27">
      <c r="A942" s="87"/>
      <c r="B942" s="87"/>
      <c r="C942" s="87"/>
      <c r="D942" s="87"/>
      <c r="E942" s="203"/>
      <c r="F942" s="87"/>
      <c r="G942" s="204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155"/>
      <c r="S942" s="156"/>
      <c r="T942" s="157"/>
      <c r="U942" s="173"/>
      <c r="V942" s="157"/>
      <c r="W942" s="157"/>
      <c r="X942" s="87"/>
      <c r="Y942" s="87"/>
      <c r="Z942" s="87"/>
      <c r="AA942" s="87"/>
    </row>
    <row r="943" ht="12" customHeight="1" spans="1:27">
      <c r="A943" s="87"/>
      <c r="B943" s="87"/>
      <c r="C943" s="87"/>
      <c r="D943" s="87"/>
      <c r="E943" s="203"/>
      <c r="F943" s="87"/>
      <c r="G943" s="204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155"/>
      <c r="S943" s="156"/>
      <c r="T943" s="157"/>
      <c r="U943" s="173"/>
      <c r="V943" s="157"/>
      <c r="W943" s="157"/>
      <c r="X943" s="87"/>
      <c r="Y943" s="87"/>
      <c r="Z943" s="87"/>
      <c r="AA943" s="87"/>
    </row>
    <row r="944" ht="12" customHeight="1" spans="1:27">
      <c r="A944" s="87"/>
      <c r="B944" s="87"/>
      <c r="C944" s="87"/>
      <c r="D944" s="87"/>
      <c r="E944" s="203"/>
      <c r="F944" s="87"/>
      <c r="G944" s="204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155"/>
      <c r="S944" s="156"/>
      <c r="T944" s="157"/>
      <c r="U944" s="173"/>
      <c r="V944" s="157"/>
      <c r="W944" s="157"/>
      <c r="X944" s="87"/>
      <c r="Y944" s="87"/>
      <c r="Z944" s="87"/>
      <c r="AA944" s="87"/>
    </row>
    <row r="945" ht="12" customHeight="1" spans="1:27">
      <c r="A945" s="87"/>
      <c r="B945" s="87"/>
      <c r="C945" s="87"/>
      <c r="D945" s="87"/>
      <c r="E945" s="203"/>
      <c r="F945" s="87"/>
      <c r="G945" s="204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155"/>
      <c r="S945" s="156"/>
      <c r="T945" s="157"/>
      <c r="U945" s="173"/>
      <c r="V945" s="157"/>
      <c r="W945" s="157"/>
      <c r="X945" s="87"/>
      <c r="Y945" s="87"/>
      <c r="Z945" s="87"/>
      <c r="AA945" s="87"/>
    </row>
    <row r="946" ht="12" customHeight="1" spans="1:27">
      <c r="A946" s="87"/>
      <c r="B946" s="87"/>
      <c r="C946" s="87"/>
      <c r="D946" s="87"/>
      <c r="E946" s="203"/>
      <c r="F946" s="87"/>
      <c r="G946" s="204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155"/>
      <c r="S946" s="156"/>
      <c r="T946" s="157"/>
      <c r="U946" s="173"/>
      <c r="V946" s="157"/>
      <c r="W946" s="157"/>
      <c r="X946" s="87"/>
      <c r="Y946" s="87"/>
      <c r="Z946" s="87"/>
      <c r="AA946" s="87"/>
    </row>
    <row r="947" ht="12" customHeight="1" spans="1:27">
      <c r="A947" s="87"/>
      <c r="B947" s="87"/>
      <c r="C947" s="87"/>
      <c r="D947" s="87"/>
      <c r="E947" s="203"/>
      <c r="F947" s="87"/>
      <c r="G947" s="204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155"/>
      <c r="S947" s="156"/>
      <c r="T947" s="157"/>
      <c r="U947" s="173"/>
      <c r="V947" s="157"/>
      <c r="W947" s="157"/>
      <c r="X947" s="87"/>
      <c r="Y947" s="87"/>
      <c r="Z947" s="87"/>
      <c r="AA947" s="87"/>
    </row>
    <row r="948" ht="12" customHeight="1" spans="1:27">
      <c r="A948" s="87"/>
      <c r="B948" s="87"/>
      <c r="C948" s="87"/>
      <c r="D948" s="87"/>
      <c r="E948" s="203"/>
      <c r="F948" s="87"/>
      <c r="G948" s="204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155"/>
      <c r="S948" s="156"/>
      <c r="T948" s="157"/>
      <c r="U948" s="173"/>
      <c r="V948" s="157"/>
      <c r="W948" s="157"/>
      <c r="X948" s="87"/>
      <c r="Y948" s="87"/>
      <c r="Z948" s="87"/>
      <c r="AA948" s="87"/>
    </row>
    <row r="949" ht="12" customHeight="1" spans="1:27">
      <c r="A949" s="87"/>
      <c r="B949" s="87"/>
      <c r="C949" s="87"/>
      <c r="D949" s="87"/>
      <c r="E949" s="203"/>
      <c r="F949" s="87"/>
      <c r="G949" s="204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155"/>
      <c r="S949" s="156"/>
      <c r="T949" s="157"/>
      <c r="U949" s="173"/>
      <c r="V949" s="157"/>
      <c r="W949" s="157"/>
      <c r="X949" s="87"/>
      <c r="Y949" s="87"/>
      <c r="Z949" s="87"/>
      <c r="AA949" s="87"/>
    </row>
    <row r="950" ht="12" customHeight="1" spans="1:27">
      <c r="A950" s="87"/>
      <c r="B950" s="87"/>
      <c r="C950" s="87"/>
      <c r="D950" s="87"/>
      <c r="E950" s="203"/>
      <c r="F950" s="87"/>
      <c r="G950" s="204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155"/>
      <c r="S950" s="156"/>
      <c r="T950" s="157"/>
      <c r="U950" s="173"/>
      <c r="V950" s="157"/>
      <c r="W950" s="157"/>
      <c r="X950" s="87"/>
      <c r="Y950" s="87"/>
      <c r="Z950" s="87"/>
      <c r="AA950" s="87"/>
    </row>
    <row r="951" ht="12" customHeight="1" spans="1:27">
      <c r="A951" s="87"/>
      <c r="B951" s="87"/>
      <c r="C951" s="87"/>
      <c r="D951" s="87"/>
      <c r="E951" s="203"/>
      <c r="F951" s="87"/>
      <c r="G951" s="204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155"/>
      <c r="S951" s="156"/>
      <c r="T951" s="157"/>
      <c r="U951" s="173"/>
      <c r="V951" s="157"/>
      <c r="W951" s="157"/>
      <c r="X951" s="87"/>
      <c r="Y951" s="87"/>
      <c r="Z951" s="87"/>
      <c r="AA951" s="87"/>
    </row>
    <row r="952" ht="12" customHeight="1" spans="1:27">
      <c r="A952" s="87"/>
      <c r="B952" s="87"/>
      <c r="C952" s="87"/>
      <c r="D952" s="87"/>
      <c r="E952" s="203"/>
      <c r="F952" s="87"/>
      <c r="G952" s="204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155"/>
      <c r="S952" s="156"/>
      <c r="T952" s="157"/>
      <c r="U952" s="173"/>
      <c r="V952" s="157"/>
      <c r="W952" s="157"/>
      <c r="X952" s="87"/>
      <c r="Y952" s="87"/>
      <c r="Z952" s="87"/>
      <c r="AA952" s="87"/>
    </row>
    <row r="953" ht="12" customHeight="1" spans="1:27">
      <c r="A953" s="87"/>
      <c r="B953" s="87"/>
      <c r="C953" s="87"/>
      <c r="D953" s="87"/>
      <c r="E953" s="203"/>
      <c r="F953" s="87"/>
      <c r="G953" s="204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155"/>
      <c r="S953" s="156"/>
      <c r="T953" s="157"/>
      <c r="U953" s="173"/>
      <c r="V953" s="157"/>
      <c r="W953" s="157"/>
      <c r="X953" s="87"/>
      <c r="Y953" s="87"/>
      <c r="Z953" s="87"/>
      <c r="AA953" s="87"/>
    </row>
    <row r="954" ht="12" customHeight="1" spans="1:27">
      <c r="A954" s="87"/>
      <c r="B954" s="87"/>
      <c r="C954" s="87"/>
      <c r="D954" s="87"/>
      <c r="E954" s="203"/>
      <c r="F954" s="87"/>
      <c r="G954" s="204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155"/>
      <c r="S954" s="156"/>
      <c r="T954" s="157"/>
      <c r="U954" s="173"/>
      <c r="V954" s="157"/>
      <c r="W954" s="157"/>
      <c r="X954" s="87"/>
      <c r="Y954" s="87"/>
      <c r="Z954" s="87"/>
      <c r="AA954" s="87"/>
    </row>
    <row r="955" ht="12" customHeight="1" spans="1:27">
      <c r="A955" s="87"/>
      <c r="B955" s="87"/>
      <c r="C955" s="87"/>
      <c r="D955" s="87"/>
      <c r="E955" s="203"/>
      <c r="F955" s="87"/>
      <c r="G955" s="204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155"/>
      <c r="S955" s="156"/>
      <c r="T955" s="157"/>
      <c r="U955" s="173"/>
      <c r="V955" s="157"/>
      <c r="W955" s="157"/>
      <c r="X955" s="87"/>
      <c r="Y955" s="87"/>
      <c r="Z955" s="87"/>
      <c r="AA955" s="87"/>
    </row>
    <row r="956" ht="12" customHeight="1" spans="1:27">
      <c r="A956" s="87"/>
      <c r="B956" s="87"/>
      <c r="C956" s="87"/>
      <c r="D956" s="87"/>
      <c r="E956" s="203"/>
      <c r="F956" s="87"/>
      <c r="G956" s="204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155"/>
      <c r="S956" s="156"/>
      <c r="T956" s="157"/>
      <c r="U956" s="173"/>
      <c r="V956" s="157"/>
      <c r="W956" s="157"/>
      <c r="X956" s="87"/>
      <c r="Y956" s="87"/>
      <c r="Z956" s="87"/>
      <c r="AA956" s="87"/>
    </row>
    <row r="957" ht="12" customHeight="1" spans="1:27">
      <c r="A957" s="87"/>
      <c r="B957" s="87"/>
      <c r="C957" s="87"/>
      <c r="D957" s="87"/>
      <c r="E957" s="203"/>
      <c r="F957" s="87"/>
      <c r="G957" s="204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155"/>
      <c r="S957" s="156"/>
      <c r="T957" s="157"/>
      <c r="U957" s="173"/>
      <c r="V957" s="157"/>
      <c r="W957" s="157"/>
      <c r="X957" s="87"/>
      <c r="Y957" s="87"/>
      <c r="Z957" s="87"/>
      <c r="AA957" s="87"/>
    </row>
    <row r="958" ht="12" customHeight="1" spans="1:27">
      <c r="A958" s="87"/>
      <c r="B958" s="87"/>
      <c r="C958" s="87"/>
      <c r="D958" s="87"/>
      <c r="E958" s="203"/>
      <c r="F958" s="87"/>
      <c r="G958" s="204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155"/>
      <c r="S958" s="156"/>
      <c r="T958" s="157"/>
      <c r="U958" s="173"/>
      <c r="V958" s="157"/>
      <c r="W958" s="157"/>
      <c r="X958" s="87"/>
      <c r="Y958" s="87"/>
      <c r="Z958" s="87"/>
      <c r="AA958" s="87"/>
    </row>
    <row r="959" ht="12" customHeight="1" spans="1:27">
      <c r="A959" s="87"/>
      <c r="B959" s="87"/>
      <c r="C959" s="87"/>
      <c r="D959" s="87"/>
      <c r="E959" s="203"/>
      <c r="F959" s="87"/>
      <c r="G959" s="204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155"/>
      <c r="S959" s="156"/>
      <c r="T959" s="157"/>
      <c r="U959" s="173"/>
      <c r="V959" s="157"/>
      <c r="W959" s="157"/>
      <c r="X959" s="87"/>
      <c r="Y959" s="87"/>
      <c r="Z959" s="87"/>
      <c r="AA959" s="87"/>
    </row>
    <row r="960" ht="12" customHeight="1" spans="1:27">
      <c r="A960" s="87"/>
      <c r="B960" s="87"/>
      <c r="C960" s="87"/>
      <c r="D960" s="87"/>
      <c r="E960" s="203"/>
      <c r="F960" s="87"/>
      <c r="G960" s="204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155"/>
      <c r="S960" s="156"/>
      <c r="T960" s="157"/>
      <c r="U960" s="173"/>
      <c r="V960" s="157"/>
      <c r="W960" s="157"/>
      <c r="X960" s="87"/>
      <c r="Y960" s="87"/>
      <c r="Z960" s="87"/>
      <c r="AA960" s="87"/>
    </row>
    <row r="961" ht="12" customHeight="1" spans="1:27">
      <c r="A961" s="87"/>
      <c r="B961" s="87"/>
      <c r="C961" s="87"/>
      <c r="D961" s="87"/>
      <c r="E961" s="203"/>
      <c r="F961" s="87"/>
      <c r="G961" s="204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155"/>
      <c r="S961" s="156"/>
      <c r="T961" s="157"/>
      <c r="U961" s="173"/>
      <c r="V961" s="157"/>
      <c r="W961" s="157"/>
      <c r="X961" s="87"/>
      <c r="Y961" s="87"/>
      <c r="Z961" s="87"/>
      <c r="AA961" s="87"/>
    </row>
    <row r="962" ht="12" customHeight="1" spans="1:27">
      <c r="A962" s="87"/>
      <c r="B962" s="87"/>
      <c r="C962" s="87"/>
      <c r="D962" s="87"/>
      <c r="E962" s="203"/>
      <c r="F962" s="87"/>
      <c r="G962" s="204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155"/>
      <c r="S962" s="156"/>
      <c r="T962" s="157"/>
      <c r="U962" s="173"/>
      <c r="V962" s="157"/>
      <c r="W962" s="157"/>
      <c r="X962" s="87"/>
      <c r="Y962" s="87"/>
      <c r="Z962" s="87"/>
      <c r="AA962" s="87"/>
    </row>
    <row r="963" ht="12" customHeight="1" spans="1:27">
      <c r="A963" s="87"/>
      <c r="B963" s="87"/>
      <c r="C963" s="87"/>
      <c r="D963" s="87"/>
      <c r="E963" s="203"/>
      <c r="F963" s="87"/>
      <c r="G963" s="204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155"/>
      <c r="S963" s="156"/>
      <c r="T963" s="157"/>
      <c r="U963" s="173"/>
      <c r="V963" s="157"/>
      <c r="W963" s="157"/>
      <c r="X963" s="87"/>
      <c r="Y963" s="87"/>
      <c r="Z963" s="87"/>
      <c r="AA963" s="87"/>
    </row>
    <row r="964" ht="12" customHeight="1" spans="1:27">
      <c r="A964" s="87"/>
      <c r="B964" s="87"/>
      <c r="C964" s="87"/>
      <c r="D964" s="87"/>
      <c r="E964" s="203"/>
      <c r="F964" s="87"/>
      <c r="G964" s="204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155"/>
      <c r="S964" s="156"/>
      <c r="T964" s="157"/>
      <c r="U964" s="173"/>
      <c r="V964" s="157"/>
      <c r="W964" s="157"/>
      <c r="X964" s="87"/>
      <c r="Y964" s="87"/>
      <c r="Z964" s="87"/>
      <c r="AA964" s="87"/>
    </row>
    <row r="965" ht="12" customHeight="1" spans="1:27">
      <c r="A965" s="87"/>
      <c r="B965" s="87"/>
      <c r="C965" s="87"/>
      <c r="D965" s="87"/>
      <c r="E965" s="203"/>
      <c r="F965" s="87"/>
      <c r="G965" s="204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155"/>
      <c r="S965" s="156"/>
      <c r="T965" s="157"/>
      <c r="U965" s="173"/>
      <c r="V965" s="157"/>
      <c r="W965" s="157"/>
      <c r="X965" s="87"/>
      <c r="Y965" s="87"/>
      <c r="Z965" s="87"/>
      <c r="AA965" s="87"/>
    </row>
    <row r="966" ht="12" customHeight="1" spans="1:27">
      <c r="A966" s="87"/>
      <c r="B966" s="87"/>
      <c r="C966" s="87"/>
      <c r="D966" s="87"/>
      <c r="E966" s="203"/>
      <c r="F966" s="87"/>
      <c r="G966" s="204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155"/>
      <c r="S966" s="156"/>
      <c r="T966" s="157"/>
      <c r="U966" s="173"/>
      <c r="V966" s="157"/>
      <c r="W966" s="157"/>
      <c r="X966" s="87"/>
      <c r="Y966" s="87"/>
      <c r="Z966" s="87"/>
      <c r="AA966" s="87"/>
    </row>
    <row r="967" ht="12" customHeight="1" spans="1:27">
      <c r="A967" s="87"/>
      <c r="B967" s="87"/>
      <c r="C967" s="87"/>
      <c r="D967" s="87"/>
      <c r="E967" s="203"/>
      <c r="F967" s="87"/>
      <c r="G967" s="204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155"/>
      <c r="S967" s="156"/>
      <c r="T967" s="157"/>
      <c r="U967" s="173"/>
      <c r="V967" s="157"/>
      <c r="W967" s="157"/>
      <c r="X967" s="87"/>
      <c r="Y967" s="87"/>
      <c r="Z967" s="87"/>
      <c r="AA967" s="87"/>
    </row>
    <row r="968" ht="12" customHeight="1" spans="1:27">
      <c r="A968" s="87"/>
      <c r="B968" s="87"/>
      <c r="C968" s="87"/>
      <c r="D968" s="87"/>
      <c r="E968" s="203"/>
      <c r="F968" s="87"/>
      <c r="G968" s="204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155"/>
      <c r="S968" s="156"/>
      <c r="T968" s="157"/>
      <c r="U968" s="173"/>
      <c r="V968" s="157"/>
      <c r="W968" s="157"/>
      <c r="X968" s="87"/>
      <c r="Y968" s="87"/>
      <c r="Z968" s="87"/>
      <c r="AA968" s="87"/>
    </row>
    <row r="969" ht="12" customHeight="1" spans="1:27">
      <c r="A969" s="87"/>
      <c r="B969" s="87"/>
      <c r="C969" s="87"/>
      <c r="D969" s="87"/>
      <c r="E969" s="203"/>
      <c r="F969" s="87"/>
      <c r="G969" s="204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155"/>
      <c r="S969" s="156"/>
      <c r="T969" s="157"/>
      <c r="U969" s="173"/>
      <c r="V969" s="157"/>
      <c r="W969" s="157"/>
      <c r="X969" s="87"/>
      <c r="Y969" s="87"/>
      <c r="Z969" s="87"/>
      <c r="AA969" s="87"/>
    </row>
    <row r="970" ht="12" customHeight="1" spans="1:27">
      <c r="A970" s="87"/>
      <c r="B970" s="87"/>
      <c r="C970" s="87"/>
      <c r="D970" s="87"/>
      <c r="E970" s="203"/>
      <c r="F970" s="87"/>
      <c r="G970" s="204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155"/>
      <c r="S970" s="156"/>
      <c r="T970" s="157"/>
      <c r="U970" s="173"/>
      <c r="V970" s="157"/>
      <c r="W970" s="157"/>
      <c r="X970" s="87"/>
      <c r="Y970" s="87"/>
      <c r="Z970" s="87"/>
      <c r="AA970" s="87"/>
    </row>
    <row r="971" ht="12" customHeight="1" spans="1:27">
      <c r="A971" s="87"/>
      <c r="B971" s="87"/>
      <c r="C971" s="87"/>
      <c r="D971" s="87"/>
      <c r="E971" s="203"/>
      <c r="F971" s="87"/>
      <c r="G971" s="204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155"/>
      <c r="S971" s="156"/>
      <c r="T971" s="157"/>
      <c r="U971" s="173"/>
      <c r="V971" s="157"/>
      <c r="W971" s="157"/>
      <c r="X971" s="87"/>
      <c r="Y971" s="87"/>
      <c r="Z971" s="87"/>
      <c r="AA971" s="87"/>
    </row>
    <row r="972" ht="12" customHeight="1" spans="1:27">
      <c r="A972" s="87"/>
      <c r="B972" s="87"/>
      <c r="C972" s="87"/>
      <c r="D972" s="87"/>
      <c r="E972" s="203"/>
      <c r="F972" s="87"/>
      <c r="G972" s="204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155"/>
      <c r="S972" s="156"/>
      <c r="T972" s="157"/>
      <c r="U972" s="173"/>
      <c r="V972" s="157"/>
      <c r="W972" s="157"/>
      <c r="X972" s="87"/>
      <c r="Y972" s="87"/>
      <c r="Z972" s="87"/>
      <c r="AA972" s="87"/>
    </row>
    <row r="973" ht="12" customHeight="1" spans="1:27">
      <c r="A973" s="87"/>
      <c r="B973" s="87"/>
      <c r="C973" s="87"/>
      <c r="D973" s="87"/>
      <c r="E973" s="203"/>
      <c r="F973" s="87"/>
      <c r="G973" s="204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155"/>
      <c r="S973" s="156"/>
      <c r="T973" s="157"/>
      <c r="U973" s="173"/>
      <c r="V973" s="157"/>
      <c r="W973" s="157"/>
      <c r="X973" s="87"/>
      <c r="Y973" s="87"/>
      <c r="Z973" s="87"/>
      <c r="AA973" s="87"/>
    </row>
    <row r="974" ht="12" customHeight="1" spans="1:27">
      <c r="A974" s="87"/>
      <c r="B974" s="87"/>
      <c r="C974" s="87"/>
      <c r="D974" s="87"/>
      <c r="E974" s="203"/>
      <c r="F974" s="87"/>
      <c r="G974" s="204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155"/>
      <c r="S974" s="156"/>
      <c r="T974" s="157"/>
      <c r="U974" s="173"/>
      <c r="V974" s="157"/>
      <c r="W974" s="157"/>
      <c r="X974" s="87"/>
      <c r="Y974" s="87"/>
      <c r="Z974" s="87"/>
      <c r="AA974" s="87"/>
    </row>
    <row r="975" ht="12" customHeight="1" spans="1:27">
      <c r="A975" s="87"/>
      <c r="B975" s="87"/>
      <c r="C975" s="87"/>
      <c r="D975" s="87"/>
      <c r="E975" s="203"/>
      <c r="F975" s="87"/>
      <c r="G975" s="204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155"/>
      <c r="S975" s="156"/>
      <c r="T975" s="157"/>
      <c r="U975" s="173"/>
      <c r="V975" s="157"/>
      <c r="W975" s="157"/>
      <c r="X975" s="87"/>
      <c r="Y975" s="87"/>
      <c r="Z975" s="87"/>
      <c r="AA975" s="87"/>
    </row>
    <row r="976" ht="12" customHeight="1" spans="1:27">
      <c r="A976" s="87"/>
      <c r="B976" s="87"/>
      <c r="C976" s="87"/>
      <c r="D976" s="87"/>
      <c r="E976" s="203"/>
      <c r="F976" s="87"/>
      <c r="G976" s="204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155"/>
      <c r="S976" s="156"/>
      <c r="T976" s="157"/>
      <c r="U976" s="173"/>
      <c r="V976" s="157"/>
      <c r="W976" s="157"/>
      <c r="X976" s="87"/>
      <c r="Y976" s="87"/>
      <c r="Z976" s="87"/>
      <c r="AA976" s="87"/>
    </row>
    <row r="977" ht="12" customHeight="1" spans="1:27">
      <c r="A977" s="87"/>
      <c r="B977" s="87"/>
      <c r="C977" s="87"/>
      <c r="D977" s="87"/>
      <c r="E977" s="203"/>
      <c r="F977" s="87"/>
      <c r="G977" s="204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155"/>
      <c r="S977" s="156"/>
      <c r="T977" s="157"/>
      <c r="U977" s="173"/>
      <c r="V977" s="157"/>
      <c r="W977" s="157"/>
      <c r="X977" s="87"/>
      <c r="Y977" s="87"/>
      <c r="Z977" s="87"/>
      <c r="AA977" s="87"/>
    </row>
    <row r="978" ht="12" customHeight="1" spans="1:27">
      <c r="A978" s="87"/>
      <c r="B978" s="87"/>
      <c r="C978" s="87"/>
      <c r="D978" s="87"/>
      <c r="E978" s="203"/>
      <c r="F978" s="87"/>
      <c r="G978" s="204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155"/>
      <c r="S978" s="156"/>
      <c r="T978" s="157"/>
      <c r="U978" s="173"/>
      <c r="V978" s="157"/>
      <c r="W978" s="157"/>
      <c r="X978" s="87"/>
      <c r="Y978" s="87"/>
      <c r="Z978" s="87"/>
      <c r="AA978" s="87"/>
    </row>
    <row r="979" ht="12" customHeight="1" spans="1:27">
      <c r="A979" s="87"/>
      <c r="B979" s="87"/>
      <c r="C979" s="87"/>
      <c r="D979" s="87"/>
      <c r="E979" s="203"/>
      <c r="F979" s="87"/>
      <c r="G979" s="204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155"/>
      <c r="S979" s="156"/>
      <c r="T979" s="157"/>
      <c r="U979" s="173"/>
      <c r="V979" s="157"/>
      <c r="W979" s="157"/>
      <c r="X979" s="87"/>
      <c r="Y979" s="87"/>
      <c r="Z979" s="87"/>
      <c r="AA979" s="87"/>
    </row>
    <row r="980" ht="12" customHeight="1" spans="1:27">
      <c r="A980" s="87"/>
      <c r="B980" s="87"/>
      <c r="C980" s="87"/>
      <c r="D980" s="87"/>
      <c r="E980" s="203"/>
      <c r="F980" s="87"/>
      <c r="G980" s="204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155"/>
      <c r="S980" s="156"/>
      <c r="T980" s="157"/>
      <c r="U980" s="173"/>
      <c r="V980" s="157"/>
      <c r="W980" s="157"/>
      <c r="X980" s="87"/>
      <c r="Y980" s="87"/>
      <c r="Z980" s="87"/>
      <c r="AA980" s="87"/>
    </row>
    <row r="981" ht="12" customHeight="1" spans="1:27">
      <c r="A981" s="87"/>
      <c r="B981" s="87"/>
      <c r="C981" s="87"/>
      <c r="D981" s="87"/>
      <c r="E981" s="203"/>
      <c r="F981" s="87"/>
      <c r="G981" s="204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155"/>
      <c r="S981" s="156"/>
      <c r="T981" s="157"/>
      <c r="U981" s="173"/>
      <c r="V981" s="157"/>
      <c r="W981" s="157"/>
      <c r="X981" s="87"/>
      <c r="Y981" s="87"/>
      <c r="Z981" s="87"/>
      <c r="AA981" s="87"/>
    </row>
    <row r="982" ht="12" customHeight="1" spans="1:27">
      <c r="A982" s="87"/>
      <c r="B982" s="87"/>
      <c r="C982" s="87"/>
      <c r="D982" s="87"/>
      <c r="E982" s="203"/>
      <c r="F982" s="87"/>
      <c r="G982" s="204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155"/>
      <c r="S982" s="156"/>
      <c r="T982" s="157"/>
      <c r="U982" s="173"/>
      <c r="V982" s="157"/>
      <c r="W982" s="157"/>
      <c r="X982" s="87"/>
      <c r="Y982" s="87"/>
      <c r="Z982" s="87"/>
      <c r="AA982" s="87"/>
    </row>
    <row r="983" ht="12" customHeight="1" spans="1:27">
      <c r="A983" s="87"/>
      <c r="B983" s="87"/>
      <c r="C983" s="87"/>
      <c r="D983" s="87"/>
      <c r="E983" s="203"/>
      <c r="F983" s="87"/>
      <c r="G983" s="204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155"/>
      <c r="S983" s="156"/>
      <c r="T983" s="157"/>
      <c r="U983" s="173"/>
      <c r="V983" s="157"/>
      <c r="W983" s="157"/>
      <c r="X983" s="87"/>
      <c r="Y983" s="87"/>
      <c r="Z983" s="87"/>
      <c r="AA983" s="87"/>
    </row>
    <row r="984" ht="12" customHeight="1" spans="1:27">
      <c r="A984" s="87"/>
      <c r="B984" s="87"/>
      <c r="C984" s="87"/>
      <c r="D984" s="87"/>
      <c r="E984" s="203"/>
      <c r="F984" s="87"/>
      <c r="G984" s="204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155"/>
      <c r="S984" s="156"/>
      <c r="T984" s="157"/>
      <c r="U984" s="173"/>
      <c r="V984" s="157"/>
      <c r="W984" s="157"/>
      <c r="X984" s="87"/>
      <c r="Y984" s="87"/>
      <c r="Z984" s="87"/>
      <c r="AA984" s="87"/>
    </row>
    <row r="985" ht="12" customHeight="1" spans="1:27">
      <c r="A985" s="87"/>
      <c r="B985" s="87"/>
      <c r="C985" s="87"/>
      <c r="D985" s="87"/>
      <c r="E985" s="203"/>
      <c r="F985" s="87"/>
      <c r="G985" s="204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155"/>
      <c r="S985" s="156"/>
      <c r="T985" s="157"/>
      <c r="U985" s="173"/>
      <c r="V985" s="157"/>
      <c r="W985" s="157"/>
      <c r="X985" s="87"/>
      <c r="Y985" s="87"/>
      <c r="Z985" s="87"/>
      <c r="AA985" s="87"/>
    </row>
    <row r="986" ht="12" customHeight="1" spans="1:27">
      <c r="A986" s="87"/>
      <c r="B986" s="87"/>
      <c r="C986" s="87"/>
      <c r="D986" s="87"/>
      <c r="E986" s="203"/>
      <c r="F986" s="87"/>
      <c r="G986" s="204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155"/>
      <c r="S986" s="156"/>
      <c r="T986" s="157"/>
      <c r="U986" s="173"/>
      <c r="V986" s="157"/>
      <c r="W986" s="157"/>
      <c r="X986" s="87"/>
      <c r="Y986" s="87"/>
      <c r="Z986" s="87"/>
      <c r="AA986" s="87"/>
    </row>
    <row r="987" ht="12" customHeight="1" spans="1:27">
      <c r="A987" s="87"/>
      <c r="B987" s="87"/>
      <c r="C987" s="87"/>
      <c r="D987" s="87"/>
      <c r="E987" s="203"/>
      <c r="F987" s="87"/>
      <c r="G987" s="204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155"/>
      <c r="S987" s="156"/>
      <c r="T987" s="157"/>
      <c r="U987" s="173"/>
      <c r="V987" s="157"/>
      <c r="W987" s="157"/>
      <c r="X987" s="87"/>
      <c r="Y987" s="87"/>
      <c r="Z987" s="87"/>
      <c r="AA987" s="87"/>
    </row>
    <row r="988" ht="12" customHeight="1" spans="1:27">
      <c r="A988" s="87"/>
      <c r="B988" s="87"/>
      <c r="C988" s="87"/>
      <c r="D988" s="87"/>
      <c r="E988" s="203"/>
      <c r="F988" s="87"/>
      <c r="G988" s="204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155"/>
      <c r="S988" s="156"/>
      <c r="T988" s="157"/>
      <c r="U988" s="173"/>
      <c r="V988" s="157"/>
      <c r="W988" s="157"/>
      <c r="X988" s="87"/>
      <c r="Y988" s="87"/>
      <c r="Z988" s="87"/>
      <c r="AA988" s="87"/>
    </row>
    <row r="989" ht="12" customHeight="1" spans="1:27">
      <c r="A989" s="87"/>
      <c r="B989" s="87"/>
      <c r="C989" s="87"/>
      <c r="D989" s="87"/>
      <c r="E989" s="203"/>
      <c r="F989" s="87"/>
      <c r="G989" s="204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155"/>
      <c r="S989" s="156"/>
      <c r="T989" s="157"/>
      <c r="U989" s="173"/>
      <c r="V989" s="157"/>
      <c r="W989" s="157"/>
      <c r="X989" s="87"/>
      <c r="Y989" s="87"/>
      <c r="Z989" s="87"/>
      <c r="AA989" s="87"/>
    </row>
    <row r="990" ht="12" customHeight="1" spans="1:27">
      <c r="A990" s="87"/>
      <c r="B990" s="87"/>
      <c r="C990" s="87"/>
      <c r="D990" s="87"/>
      <c r="E990" s="203"/>
      <c r="F990" s="87"/>
      <c r="G990" s="204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155"/>
      <c r="S990" s="156"/>
      <c r="T990" s="157"/>
      <c r="U990" s="173"/>
      <c r="V990" s="157"/>
      <c r="W990" s="157"/>
      <c r="X990" s="87"/>
      <c r="Y990" s="87"/>
      <c r="Z990" s="87"/>
      <c r="AA990" s="87"/>
    </row>
    <row r="991" ht="12" customHeight="1" spans="1:27">
      <c r="A991" s="87"/>
      <c r="B991" s="87"/>
      <c r="C991" s="87"/>
      <c r="D991" s="87"/>
      <c r="E991" s="203"/>
      <c r="F991" s="87"/>
      <c r="G991" s="204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155"/>
      <c r="S991" s="156"/>
      <c r="T991" s="157"/>
      <c r="U991" s="173"/>
      <c r="V991" s="157"/>
      <c r="W991" s="157"/>
      <c r="X991" s="87"/>
      <c r="Y991" s="87"/>
      <c r="Z991" s="87"/>
      <c r="AA991" s="87"/>
    </row>
    <row r="992" ht="12" customHeight="1" spans="1:27">
      <c r="A992" s="87"/>
      <c r="B992" s="87"/>
      <c r="C992" s="87"/>
      <c r="D992" s="87"/>
      <c r="E992" s="203"/>
      <c r="F992" s="87"/>
      <c r="G992" s="204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155"/>
      <c r="S992" s="156"/>
      <c r="T992" s="157"/>
      <c r="U992" s="173"/>
      <c r="V992" s="157"/>
      <c r="W992" s="157"/>
      <c r="X992" s="87"/>
      <c r="Y992" s="87"/>
      <c r="Z992" s="87"/>
      <c r="AA992" s="87"/>
    </row>
    <row r="993" ht="12" customHeight="1" spans="1:27">
      <c r="A993" s="87"/>
      <c r="B993" s="87"/>
      <c r="C993" s="87"/>
      <c r="D993" s="87"/>
      <c r="E993" s="203"/>
      <c r="F993" s="87"/>
      <c r="G993" s="204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155"/>
      <c r="S993" s="156"/>
      <c r="T993" s="157"/>
      <c r="U993" s="173"/>
      <c r="V993" s="157"/>
      <c r="W993" s="157"/>
      <c r="X993" s="87"/>
      <c r="Y993" s="87"/>
      <c r="Z993" s="87"/>
      <c r="AA993" s="87"/>
    </row>
    <row r="994" ht="12" customHeight="1" spans="1:27">
      <c r="A994" s="87"/>
      <c r="B994" s="87"/>
      <c r="C994" s="87"/>
      <c r="D994" s="87"/>
      <c r="E994" s="203"/>
      <c r="F994" s="87"/>
      <c r="G994" s="204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155"/>
      <c r="S994" s="156"/>
      <c r="T994" s="157"/>
      <c r="U994" s="173"/>
      <c r="V994" s="157"/>
      <c r="W994" s="157"/>
      <c r="X994" s="87"/>
      <c r="Y994" s="87"/>
      <c r="Z994" s="87"/>
      <c r="AA994" s="87"/>
    </row>
    <row r="995" ht="12" customHeight="1" spans="1:27">
      <c r="A995" s="87"/>
      <c r="B995" s="87"/>
      <c r="C995" s="87"/>
      <c r="D995" s="87"/>
      <c r="E995" s="203"/>
      <c r="F995" s="87"/>
      <c r="G995" s="204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155"/>
      <c r="S995" s="156"/>
      <c r="T995" s="157"/>
      <c r="U995" s="173"/>
      <c r="V995" s="157"/>
      <c r="W995" s="157"/>
      <c r="X995" s="87"/>
      <c r="Y995" s="87"/>
      <c r="Z995" s="87"/>
      <c r="AA995" s="87"/>
    </row>
    <row r="996" ht="12" customHeight="1" spans="1:27">
      <c r="A996" s="87"/>
      <c r="B996" s="87"/>
      <c r="C996" s="87"/>
      <c r="D996" s="87"/>
      <c r="E996" s="203"/>
      <c r="F996" s="87"/>
      <c r="G996" s="204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155"/>
      <c r="S996" s="156"/>
      <c r="T996" s="157"/>
      <c r="U996" s="173"/>
      <c r="V996" s="157"/>
      <c r="W996" s="157"/>
      <c r="X996" s="87"/>
      <c r="Y996" s="87"/>
      <c r="Z996" s="87"/>
      <c r="AA996" s="87"/>
    </row>
    <row r="997" ht="12" customHeight="1" spans="1:27">
      <c r="A997" s="87"/>
      <c r="B997" s="87"/>
      <c r="C997" s="87"/>
      <c r="D997" s="87"/>
      <c r="E997" s="203"/>
      <c r="F997" s="87"/>
      <c r="G997" s="204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155"/>
      <c r="S997" s="156"/>
      <c r="T997" s="157"/>
      <c r="U997" s="173"/>
      <c r="V997" s="157"/>
      <c r="W997" s="157"/>
      <c r="X997" s="87"/>
      <c r="Y997" s="87"/>
      <c r="Z997" s="87"/>
      <c r="AA997" s="87"/>
    </row>
    <row r="998" ht="12" customHeight="1" spans="1:27">
      <c r="A998" s="87"/>
      <c r="B998" s="87"/>
      <c r="C998" s="87"/>
      <c r="D998" s="87"/>
      <c r="E998" s="203"/>
      <c r="F998" s="87"/>
      <c r="G998" s="204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155"/>
      <c r="S998" s="156"/>
      <c r="T998" s="157"/>
      <c r="U998" s="173"/>
      <c r="V998" s="157"/>
      <c r="W998" s="157"/>
      <c r="X998" s="87"/>
      <c r="Y998" s="87"/>
      <c r="Z998" s="87"/>
      <c r="AA998" s="87"/>
    </row>
    <row r="999" ht="12" customHeight="1" spans="1:27">
      <c r="A999" s="87"/>
      <c r="B999" s="87"/>
      <c r="C999" s="87"/>
      <c r="D999" s="87"/>
      <c r="E999" s="203"/>
      <c r="F999" s="87"/>
      <c r="G999" s="204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155"/>
      <c r="S999" s="156"/>
      <c r="T999" s="157"/>
      <c r="U999" s="173"/>
      <c r="V999" s="157"/>
      <c r="W999" s="157"/>
      <c r="X999" s="87"/>
      <c r="Y999" s="87"/>
      <c r="Z999" s="87"/>
      <c r="AA999" s="87"/>
    </row>
    <row r="1000" ht="12" customHeight="1" spans="1:27">
      <c r="A1000" s="87"/>
      <c r="B1000" s="87"/>
      <c r="C1000" s="87"/>
      <c r="D1000" s="87"/>
      <c r="E1000" s="203"/>
      <c r="F1000" s="87"/>
      <c r="G1000" s="204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155"/>
      <c r="S1000" s="156"/>
      <c r="T1000" s="157"/>
      <c r="U1000" s="173"/>
      <c r="V1000" s="157"/>
      <c r="W1000" s="157"/>
      <c r="X1000" s="87"/>
      <c r="Y1000" s="87"/>
      <c r="Z1000" s="87"/>
      <c r="AA1000" s="87"/>
    </row>
    <row r="1001" ht="12" customHeight="1" spans="1:27">
      <c r="A1001" s="87"/>
      <c r="B1001" s="87"/>
      <c r="C1001" s="87"/>
      <c r="D1001" s="87"/>
      <c r="E1001" s="203"/>
      <c r="F1001" s="87"/>
      <c r="G1001" s="204"/>
      <c r="H1001" s="87"/>
      <c r="I1001" s="87"/>
      <c r="J1001" s="87"/>
      <c r="K1001" s="87"/>
      <c r="L1001" s="87"/>
      <c r="M1001" s="87"/>
      <c r="N1001" s="87"/>
      <c r="O1001" s="87"/>
      <c r="P1001" s="87"/>
      <c r="Q1001" s="87"/>
      <c r="R1001" s="155"/>
      <c r="S1001" s="156"/>
      <c r="T1001" s="157"/>
      <c r="U1001" s="173"/>
      <c r="V1001" s="157"/>
      <c r="W1001" s="157"/>
      <c r="X1001" s="87"/>
      <c r="Y1001" s="87"/>
      <c r="Z1001" s="87"/>
      <c r="AA1001" s="87"/>
    </row>
    <row r="1002" ht="12" customHeight="1" spans="1:27">
      <c r="A1002" s="87"/>
      <c r="B1002" s="87"/>
      <c r="C1002" s="87"/>
      <c r="D1002" s="87"/>
      <c r="E1002" s="203"/>
      <c r="F1002" s="87"/>
      <c r="G1002" s="204"/>
      <c r="H1002" s="87"/>
      <c r="I1002" s="87"/>
      <c r="J1002" s="87"/>
      <c r="K1002" s="87"/>
      <c r="L1002" s="87"/>
      <c r="M1002" s="87"/>
      <c r="N1002" s="87"/>
      <c r="O1002" s="87"/>
      <c r="P1002" s="87"/>
      <c r="Q1002" s="87"/>
      <c r="R1002" s="155"/>
      <c r="S1002" s="156"/>
      <c r="T1002" s="157"/>
      <c r="U1002" s="173"/>
      <c r="V1002" s="157"/>
      <c r="W1002" s="157"/>
      <c r="X1002" s="87"/>
      <c r="Y1002" s="87"/>
      <c r="Z1002" s="87"/>
      <c r="AA1002" s="87"/>
    </row>
    <row r="1003" ht="12" customHeight="1" spans="1:27">
      <c r="A1003" s="87"/>
      <c r="B1003" s="87"/>
      <c r="C1003" s="87"/>
      <c r="D1003" s="87"/>
      <c r="E1003" s="203"/>
      <c r="F1003" s="87"/>
      <c r="G1003" s="204"/>
      <c r="H1003" s="87"/>
      <c r="I1003" s="87"/>
      <c r="J1003" s="87"/>
      <c r="K1003" s="87"/>
      <c r="L1003" s="87"/>
      <c r="M1003" s="87"/>
      <c r="N1003" s="87"/>
      <c r="O1003" s="87"/>
      <c r="P1003" s="87"/>
      <c r="Q1003" s="87"/>
      <c r="R1003" s="155"/>
      <c r="S1003" s="156"/>
      <c r="T1003" s="157"/>
      <c r="U1003" s="173"/>
      <c r="V1003" s="157"/>
      <c r="W1003" s="157"/>
      <c r="X1003" s="87"/>
      <c r="Y1003" s="87"/>
      <c r="Z1003" s="87"/>
      <c r="AA1003" s="87"/>
    </row>
    <row r="1004" ht="12" customHeight="1" spans="1:27">
      <c r="A1004" s="87"/>
      <c r="B1004" s="87"/>
      <c r="C1004" s="87"/>
      <c r="D1004" s="87"/>
      <c r="E1004" s="203"/>
      <c r="F1004" s="87"/>
      <c r="G1004" s="204"/>
      <c r="H1004" s="87"/>
      <c r="I1004" s="87"/>
      <c r="J1004" s="87"/>
      <c r="K1004" s="87"/>
      <c r="L1004" s="87"/>
      <c r="M1004" s="87"/>
      <c r="N1004" s="87"/>
      <c r="O1004" s="87"/>
      <c r="P1004" s="87"/>
      <c r="Q1004" s="87"/>
      <c r="R1004" s="155"/>
      <c r="S1004" s="156"/>
      <c r="T1004" s="157"/>
      <c r="U1004" s="173"/>
      <c r="V1004" s="157"/>
      <c r="W1004" s="157"/>
      <c r="X1004" s="87"/>
      <c r="Y1004" s="87"/>
      <c r="Z1004" s="87"/>
      <c r="AA1004" s="87"/>
    </row>
    <row r="1005" ht="12" customHeight="1" spans="1:27">
      <c r="A1005" s="87"/>
      <c r="B1005" s="87"/>
      <c r="C1005" s="87"/>
      <c r="D1005" s="87"/>
      <c r="E1005" s="203"/>
      <c r="F1005" s="87"/>
      <c r="G1005" s="204"/>
      <c r="H1005" s="87"/>
      <c r="I1005" s="87"/>
      <c r="J1005" s="87"/>
      <c r="K1005" s="87"/>
      <c r="L1005" s="87"/>
      <c r="M1005" s="87"/>
      <c r="N1005" s="87"/>
      <c r="O1005" s="87"/>
      <c r="P1005" s="87"/>
      <c r="Q1005" s="87"/>
      <c r="R1005" s="155"/>
      <c r="S1005" s="156"/>
      <c r="T1005" s="157"/>
      <c r="U1005" s="173"/>
      <c r="V1005" s="157"/>
      <c r="W1005" s="157"/>
      <c r="X1005" s="87"/>
      <c r="Y1005" s="87"/>
      <c r="Z1005" s="87"/>
      <c r="AA1005" s="87"/>
    </row>
    <row r="1006" ht="12" customHeight="1" spans="1:27">
      <c r="A1006" s="87"/>
      <c r="B1006" s="87"/>
      <c r="C1006" s="87"/>
      <c r="D1006" s="87"/>
      <c r="E1006" s="203"/>
      <c r="F1006" s="87"/>
      <c r="G1006" s="204"/>
      <c r="H1006" s="87"/>
      <c r="I1006" s="87"/>
      <c r="J1006" s="87"/>
      <c r="K1006" s="87"/>
      <c r="L1006" s="87"/>
      <c r="M1006" s="87"/>
      <c r="N1006" s="87"/>
      <c r="O1006" s="87"/>
      <c r="P1006" s="87"/>
      <c r="Q1006" s="87"/>
      <c r="R1006" s="155"/>
      <c r="S1006" s="156"/>
      <c r="T1006" s="157"/>
      <c r="U1006" s="173"/>
      <c r="V1006" s="157"/>
      <c r="W1006" s="157"/>
      <c r="X1006" s="87"/>
      <c r="Y1006" s="87"/>
      <c r="Z1006" s="87"/>
      <c r="AA1006" s="87"/>
    </row>
    <row r="1007" ht="12" customHeight="1" spans="1:27">
      <c r="A1007" s="87"/>
      <c r="B1007" s="87"/>
      <c r="C1007" s="87"/>
      <c r="D1007" s="87"/>
      <c r="E1007" s="203"/>
      <c r="F1007" s="87"/>
      <c r="G1007" s="204"/>
      <c r="H1007" s="87"/>
      <c r="I1007" s="87"/>
      <c r="J1007" s="87"/>
      <c r="K1007" s="87"/>
      <c r="L1007" s="87"/>
      <c r="M1007" s="87"/>
      <c r="N1007" s="87"/>
      <c r="O1007" s="87"/>
      <c r="P1007" s="87"/>
      <c r="Q1007" s="87"/>
      <c r="R1007" s="155"/>
      <c r="S1007" s="156"/>
      <c r="T1007" s="157"/>
      <c r="U1007" s="173"/>
      <c r="V1007" s="157"/>
      <c r="W1007" s="157"/>
      <c r="X1007" s="87"/>
      <c r="Y1007" s="87"/>
      <c r="Z1007" s="87"/>
      <c r="AA1007" s="87"/>
    </row>
    <row r="1008" ht="12" customHeight="1" spans="1:27">
      <c r="A1008" s="87"/>
      <c r="B1008" s="87"/>
      <c r="C1008" s="87"/>
      <c r="D1008" s="87"/>
      <c r="E1008" s="203"/>
      <c r="F1008" s="87"/>
      <c r="G1008" s="204"/>
      <c r="H1008" s="87"/>
      <c r="I1008" s="87"/>
      <c r="J1008" s="87"/>
      <c r="K1008" s="87"/>
      <c r="L1008" s="87"/>
      <c r="M1008" s="87"/>
      <c r="N1008" s="87"/>
      <c r="O1008" s="87"/>
      <c r="P1008" s="87"/>
      <c r="Q1008" s="87"/>
      <c r="R1008" s="155"/>
      <c r="S1008" s="156"/>
      <c r="T1008" s="157"/>
      <c r="U1008" s="173"/>
      <c r="V1008" s="157"/>
      <c r="W1008" s="157"/>
      <c r="X1008" s="87"/>
      <c r="Y1008" s="87"/>
      <c r="Z1008" s="87"/>
      <c r="AA1008" s="87"/>
    </row>
    <row r="1009" ht="12" customHeight="1" spans="1:27">
      <c r="A1009" s="87"/>
      <c r="B1009" s="87"/>
      <c r="C1009" s="87"/>
      <c r="D1009" s="87"/>
      <c r="E1009" s="203"/>
      <c r="F1009" s="87"/>
      <c r="G1009" s="204"/>
      <c r="H1009" s="87"/>
      <c r="I1009" s="87"/>
      <c r="J1009" s="87"/>
      <c r="K1009" s="87"/>
      <c r="L1009" s="87"/>
      <c r="M1009" s="87"/>
      <c r="N1009" s="87"/>
      <c r="O1009" s="87"/>
      <c r="P1009" s="87"/>
      <c r="Q1009" s="87"/>
      <c r="R1009" s="155"/>
      <c r="S1009" s="156"/>
      <c r="T1009" s="157"/>
      <c r="U1009" s="173"/>
      <c r="V1009" s="157"/>
      <c r="W1009" s="157"/>
      <c r="X1009" s="87"/>
      <c r="Y1009" s="87"/>
      <c r="Z1009" s="87"/>
      <c r="AA1009" s="87"/>
    </row>
    <row r="1010" ht="12" customHeight="1" spans="1:27">
      <c r="A1010" s="87"/>
      <c r="B1010" s="87"/>
      <c r="C1010" s="87"/>
      <c r="D1010" s="87"/>
      <c r="E1010" s="203"/>
      <c r="F1010" s="87"/>
      <c r="G1010" s="204"/>
      <c r="H1010" s="87"/>
      <c r="I1010" s="87"/>
      <c r="J1010" s="87"/>
      <c r="K1010" s="87"/>
      <c r="L1010" s="87"/>
      <c r="M1010" s="87"/>
      <c r="N1010" s="87"/>
      <c r="O1010" s="87"/>
      <c r="P1010" s="87"/>
      <c r="Q1010" s="87"/>
      <c r="R1010" s="155"/>
      <c r="S1010" s="156"/>
      <c r="T1010" s="157"/>
      <c r="U1010" s="173"/>
      <c r="V1010" s="157"/>
      <c r="W1010" s="157"/>
      <c r="X1010" s="87"/>
      <c r="Y1010" s="87"/>
      <c r="Z1010" s="87"/>
      <c r="AA1010" s="87"/>
    </row>
    <row r="1011" ht="12" customHeight="1" spans="1:27">
      <c r="A1011" s="87"/>
      <c r="B1011" s="87"/>
      <c r="C1011" s="87"/>
      <c r="D1011" s="87"/>
      <c r="E1011" s="203"/>
      <c r="F1011" s="87"/>
      <c r="G1011" s="204"/>
      <c r="H1011" s="87"/>
      <c r="I1011" s="87"/>
      <c r="J1011" s="87"/>
      <c r="K1011" s="87"/>
      <c r="L1011" s="87"/>
      <c r="M1011" s="87"/>
      <c r="N1011" s="87"/>
      <c r="O1011" s="87"/>
      <c r="P1011" s="87"/>
      <c r="Q1011" s="87"/>
      <c r="R1011" s="155"/>
      <c r="S1011" s="156"/>
      <c r="T1011" s="157"/>
      <c r="U1011" s="173"/>
      <c r="V1011" s="157"/>
      <c r="W1011" s="157"/>
      <c r="X1011" s="87"/>
      <c r="Y1011" s="87"/>
      <c r="Z1011" s="87"/>
      <c r="AA1011" s="87"/>
    </row>
    <row r="1012" ht="12" customHeight="1" spans="1:27">
      <c r="A1012" s="87"/>
      <c r="B1012" s="87"/>
      <c r="C1012" s="87"/>
      <c r="D1012" s="87"/>
      <c r="E1012" s="203"/>
      <c r="F1012" s="87"/>
      <c r="G1012" s="204"/>
      <c r="H1012" s="87"/>
      <c r="I1012" s="87"/>
      <c r="J1012" s="87"/>
      <c r="K1012" s="87"/>
      <c r="L1012" s="87"/>
      <c r="M1012" s="87"/>
      <c r="N1012" s="87"/>
      <c r="O1012" s="87"/>
      <c r="P1012" s="87"/>
      <c r="Q1012" s="87"/>
      <c r="R1012" s="155"/>
      <c r="S1012" s="156"/>
      <c r="T1012" s="157"/>
      <c r="U1012" s="173"/>
      <c r="V1012" s="157"/>
      <c r="W1012" s="157"/>
      <c r="X1012" s="87"/>
      <c r="Y1012" s="87"/>
      <c r="Z1012" s="87"/>
      <c r="AA1012" s="87"/>
    </row>
    <row r="1013" ht="12" customHeight="1" spans="1:27">
      <c r="A1013" s="87"/>
      <c r="B1013" s="87"/>
      <c r="C1013" s="87"/>
      <c r="D1013" s="87"/>
      <c r="E1013" s="203"/>
      <c r="F1013" s="87"/>
      <c r="G1013" s="204"/>
      <c r="H1013" s="87"/>
      <c r="I1013" s="87"/>
      <c r="J1013" s="87"/>
      <c r="K1013" s="87"/>
      <c r="L1013" s="87"/>
      <c r="M1013" s="87"/>
      <c r="N1013" s="87"/>
      <c r="O1013" s="87"/>
      <c r="P1013" s="87"/>
      <c r="Q1013" s="87"/>
      <c r="R1013" s="155"/>
      <c r="S1013" s="156"/>
      <c r="T1013" s="157"/>
      <c r="U1013" s="173"/>
      <c r="V1013" s="157"/>
      <c r="W1013" s="157"/>
      <c r="X1013" s="87"/>
      <c r="Y1013" s="87"/>
      <c r="Z1013" s="87"/>
      <c r="AA1013" s="87"/>
    </row>
    <row r="1014" ht="12" customHeight="1" spans="1:27">
      <c r="A1014" s="87"/>
      <c r="B1014" s="87"/>
      <c r="C1014" s="87"/>
      <c r="D1014" s="87"/>
      <c r="E1014" s="203"/>
      <c r="F1014" s="87"/>
      <c r="G1014" s="204"/>
      <c r="H1014" s="87"/>
      <c r="I1014" s="87"/>
      <c r="J1014" s="87"/>
      <c r="K1014" s="87"/>
      <c r="L1014" s="87"/>
      <c r="M1014" s="87"/>
      <c r="N1014" s="87"/>
      <c r="O1014" s="87"/>
      <c r="P1014" s="87"/>
      <c r="Q1014" s="87"/>
      <c r="R1014" s="155"/>
      <c r="S1014" s="156"/>
      <c r="T1014" s="157"/>
      <c r="U1014" s="173"/>
      <c r="V1014" s="157"/>
      <c r="W1014" s="157"/>
      <c r="X1014" s="87"/>
      <c r="Y1014" s="87"/>
      <c r="Z1014" s="87"/>
      <c r="AA1014" s="87"/>
    </row>
    <row r="1015" ht="12" customHeight="1" spans="1:27">
      <c r="A1015" s="87"/>
      <c r="B1015" s="87"/>
      <c r="C1015" s="87"/>
      <c r="D1015" s="87"/>
      <c r="E1015" s="203"/>
      <c r="F1015" s="87"/>
      <c r="G1015" s="204"/>
      <c r="H1015" s="87"/>
      <c r="I1015" s="87"/>
      <c r="J1015" s="87"/>
      <c r="K1015" s="87"/>
      <c r="L1015" s="87"/>
      <c r="M1015" s="87"/>
      <c r="N1015" s="87"/>
      <c r="O1015" s="87"/>
      <c r="P1015" s="87"/>
      <c r="Q1015" s="87"/>
      <c r="R1015" s="155"/>
      <c r="S1015" s="156"/>
      <c r="T1015" s="157"/>
      <c r="U1015" s="173"/>
      <c r="V1015" s="157"/>
      <c r="W1015" s="157"/>
      <c r="X1015" s="87"/>
      <c r="Y1015" s="87"/>
      <c r="Z1015" s="87"/>
      <c r="AA1015" s="87"/>
    </row>
    <row r="1016" ht="12" customHeight="1" spans="1:27">
      <c r="A1016" s="87"/>
      <c r="B1016" s="87"/>
      <c r="C1016" s="87"/>
      <c r="D1016" s="87"/>
      <c r="E1016" s="203"/>
      <c r="F1016" s="87"/>
      <c r="G1016" s="204"/>
      <c r="H1016" s="87"/>
      <c r="I1016" s="87"/>
      <c r="J1016" s="87"/>
      <c r="K1016" s="87"/>
      <c r="L1016" s="87"/>
      <c r="M1016" s="87"/>
      <c r="N1016" s="87"/>
      <c r="O1016" s="87"/>
      <c r="P1016" s="87"/>
      <c r="Q1016" s="87"/>
      <c r="R1016" s="155"/>
      <c r="S1016" s="156"/>
      <c r="T1016" s="157"/>
      <c r="U1016" s="173"/>
      <c r="V1016" s="157"/>
      <c r="W1016" s="157"/>
      <c r="X1016" s="87"/>
      <c r="Y1016" s="87"/>
      <c r="Z1016" s="87"/>
      <c r="AA1016" s="87"/>
    </row>
    <row r="1017" ht="12" customHeight="1" spans="1:27">
      <c r="A1017" s="87"/>
      <c r="B1017" s="87"/>
      <c r="C1017" s="87"/>
      <c r="D1017" s="87"/>
      <c r="E1017" s="203"/>
      <c r="F1017" s="87"/>
      <c r="G1017" s="204"/>
      <c r="H1017" s="87"/>
      <c r="I1017" s="87"/>
      <c r="J1017" s="87"/>
      <c r="K1017" s="87"/>
      <c r="L1017" s="87"/>
      <c r="M1017" s="87"/>
      <c r="N1017" s="87"/>
      <c r="O1017" s="87"/>
      <c r="P1017" s="87"/>
      <c r="Q1017" s="87"/>
      <c r="R1017" s="155"/>
      <c r="S1017" s="156"/>
      <c r="T1017" s="157"/>
      <c r="U1017" s="173"/>
      <c r="V1017" s="157"/>
      <c r="W1017" s="157"/>
      <c r="X1017" s="87"/>
      <c r="Y1017" s="87"/>
      <c r="Z1017" s="87"/>
      <c r="AA1017" s="87"/>
    </row>
    <row r="1018" ht="12" customHeight="1" spans="1:27">
      <c r="A1018" s="87"/>
      <c r="B1018" s="87"/>
      <c r="C1018" s="87"/>
      <c r="D1018" s="87"/>
      <c r="E1018" s="203"/>
      <c r="F1018" s="87"/>
      <c r="G1018" s="204"/>
      <c r="H1018" s="87"/>
      <c r="I1018" s="87"/>
      <c r="J1018" s="87"/>
      <c r="K1018" s="87"/>
      <c r="L1018" s="87"/>
      <c r="M1018" s="87"/>
      <c r="N1018" s="87"/>
      <c r="O1018" s="87"/>
      <c r="P1018" s="87"/>
      <c r="Q1018" s="87"/>
      <c r="R1018" s="155"/>
      <c r="S1018" s="156"/>
      <c r="T1018" s="157"/>
      <c r="U1018" s="173"/>
      <c r="V1018" s="157"/>
      <c r="W1018" s="157"/>
      <c r="X1018" s="87"/>
      <c r="Y1018" s="87"/>
      <c r="Z1018" s="87"/>
      <c r="AA1018" s="87"/>
    </row>
    <row r="1019" ht="12" customHeight="1" spans="1:27">
      <c r="A1019" s="87"/>
      <c r="B1019" s="87"/>
      <c r="C1019" s="87"/>
      <c r="D1019" s="87"/>
      <c r="E1019" s="203"/>
      <c r="F1019" s="87"/>
      <c r="G1019" s="204"/>
      <c r="H1019" s="87"/>
      <c r="I1019" s="87"/>
      <c r="J1019" s="87"/>
      <c r="K1019" s="87"/>
      <c r="L1019" s="87"/>
      <c r="M1019" s="87"/>
      <c r="N1019" s="87"/>
      <c r="O1019" s="87"/>
      <c r="P1019" s="87"/>
      <c r="Q1019" s="87"/>
      <c r="R1019" s="155"/>
      <c r="S1019" s="156"/>
      <c r="T1019" s="157"/>
      <c r="U1019" s="173"/>
      <c r="V1019" s="157"/>
      <c r="W1019" s="157"/>
      <c r="X1019" s="87"/>
      <c r="Y1019" s="87"/>
      <c r="Z1019" s="87"/>
      <c r="AA1019" s="87"/>
    </row>
    <row r="1020" ht="12" customHeight="1" spans="1:27">
      <c r="A1020" s="87"/>
      <c r="B1020" s="87"/>
      <c r="C1020" s="87"/>
      <c r="D1020" s="87"/>
      <c r="E1020" s="203"/>
      <c r="F1020" s="87"/>
      <c r="G1020" s="204"/>
      <c r="H1020" s="87"/>
      <c r="I1020" s="87"/>
      <c r="J1020" s="87"/>
      <c r="K1020" s="87"/>
      <c r="L1020" s="87"/>
      <c r="M1020" s="87"/>
      <c r="N1020" s="87"/>
      <c r="O1020" s="87"/>
      <c r="P1020" s="87"/>
      <c r="Q1020" s="87"/>
      <c r="R1020" s="155"/>
      <c r="S1020" s="156"/>
      <c r="T1020" s="157"/>
      <c r="U1020" s="173"/>
      <c r="V1020" s="157"/>
      <c r="W1020" s="157"/>
      <c r="X1020" s="87"/>
      <c r="Y1020" s="87"/>
      <c r="Z1020" s="87"/>
      <c r="AA1020" s="87"/>
    </row>
    <row r="1021" ht="12" customHeight="1" spans="1:27">
      <c r="A1021" s="87"/>
      <c r="B1021" s="87"/>
      <c r="C1021" s="87"/>
      <c r="D1021" s="87"/>
      <c r="E1021" s="203"/>
      <c r="F1021" s="87"/>
      <c r="G1021" s="204"/>
      <c r="H1021" s="87"/>
      <c r="I1021" s="87"/>
      <c r="J1021" s="87"/>
      <c r="K1021" s="87"/>
      <c r="L1021" s="87"/>
      <c r="M1021" s="87"/>
      <c r="N1021" s="87"/>
      <c r="O1021" s="87"/>
      <c r="P1021" s="87"/>
      <c r="Q1021" s="87"/>
      <c r="R1021" s="155"/>
      <c r="S1021" s="156"/>
      <c r="T1021" s="157"/>
      <c r="U1021" s="173"/>
      <c r="V1021" s="157"/>
      <c r="W1021" s="157"/>
      <c r="X1021" s="87"/>
      <c r="Y1021" s="87"/>
      <c r="Z1021" s="87"/>
      <c r="AA1021" s="87"/>
    </row>
    <row r="1022" ht="12" customHeight="1" spans="1:27">
      <c r="A1022" s="87"/>
      <c r="B1022" s="87"/>
      <c r="C1022" s="87"/>
      <c r="D1022" s="87"/>
      <c r="E1022" s="203"/>
      <c r="F1022" s="87"/>
      <c r="G1022" s="204"/>
      <c r="H1022" s="87"/>
      <c r="I1022" s="87"/>
      <c r="J1022" s="87"/>
      <c r="K1022" s="87"/>
      <c r="L1022" s="87"/>
      <c r="M1022" s="87"/>
      <c r="N1022" s="87"/>
      <c r="O1022" s="87"/>
      <c r="P1022" s="87"/>
      <c r="Q1022" s="87"/>
      <c r="R1022" s="155"/>
      <c r="S1022" s="156"/>
      <c r="T1022" s="157"/>
      <c r="U1022" s="173"/>
      <c r="V1022" s="157"/>
      <c r="W1022" s="157"/>
      <c r="X1022" s="87"/>
      <c r="Y1022" s="87"/>
      <c r="Z1022" s="87"/>
      <c r="AA1022" s="87"/>
    </row>
    <row r="1023" ht="12" customHeight="1" spans="1:27">
      <c r="A1023" s="87"/>
      <c r="B1023" s="87"/>
      <c r="C1023" s="87"/>
      <c r="D1023" s="87"/>
      <c r="E1023" s="203"/>
      <c r="F1023" s="87"/>
      <c r="G1023" s="204"/>
      <c r="H1023" s="87"/>
      <c r="I1023" s="87"/>
      <c r="J1023" s="87"/>
      <c r="K1023" s="87"/>
      <c r="L1023" s="87"/>
      <c r="M1023" s="87"/>
      <c r="N1023" s="87"/>
      <c r="O1023" s="87"/>
      <c r="P1023" s="87"/>
      <c r="Q1023" s="87"/>
      <c r="R1023" s="155"/>
      <c r="S1023" s="156"/>
      <c r="T1023" s="157"/>
      <c r="U1023" s="173"/>
      <c r="V1023" s="157"/>
      <c r="W1023" s="157"/>
      <c r="X1023" s="87"/>
      <c r="Y1023" s="87"/>
      <c r="Z1023" s="87"/>
      <c r="AA1023" s="87"/>
    </row>
    <row r="1024" ht="12" customHeight="1" spans="1:27">
      <c r="A1024" s="87"/>
      <c r="B1024" s="87"/>
      <c r="C1024" s="87"/>
      <c r="D1024" s="87"/>
      <c r="E1024" s="203"/>
      <c r="F1024" s="87"/>
      <c r="G1024" s="204"/>
      <c r="H1024" s="87"/>
      <c r="I1024" s="87"/>
      <c r="J1024" s="87"/>
      <c r="K1024" s="87"/>
      <c r="L1024" s="87"/>
      <c r="M1024" s="87"/>
      <c r="N1024" s="87"/>
      <c r="O1024" s="87"/>
      <c r="P1024" s="87"/>
      <c r="Q1024" s="87"/>
      <c r="R1024" s="155"/>
      <c r="S1024" s="156"/>
      <c r="T1024" s="157"/>
      <c r="U1024" s="173"/>
      <c r="V1024" s="157"/>
      <c r="W1024" s="157"/>
      <c r="X1024" s="87"/>
      <c r="Y1024" s="87"/>
      <c r="Z1024" s="87"/>
      <c r="AA1024" s="87"/>
    </row>
    <row r="1025" ht="12" customHeight="1" spans="1:27">
      <c r="A1025" s="87"/>
      <c r="B1025" s="87"/>
      <c r="C1025" s="87"/>
      <c r="D1025" s="87"/>
      <c r="E1025" s="203"/>
      <c r="F1025" s="87"/>
      <c r="G1025" s="204"/>
      <c r="H1025" s="87"/>
      <c r="I1025" s="87"/>
      <c r="J1025" s="87"/>
      <c r="K1025" s="87"/>
      <c r="L1025" s="87"/>
      <c r="M1025" s="87"/>
      <c r="N1025" s="87"/>
      <c r="O1025" s="87"/>
      <c r="P1025" s="87"/>
      <c r="Q1025" s="87"/>
      <c r="R1025" s="155"/>
      <c r="S1025" s="156"/>
      <c r="T1025" s="157"/>
      <c r="U1025" s="173"/>
      <c r="V1025" s="157"/>
      <c r="W1025" s="157"/>
      <c r="X1025" s="87"/>
      <c r="Y1025" s="87"/>
      <c r="Z1025" s="87"/>
      <c r="AA1025" s="87"/>
    </row>
    <row r="1026" ht="12" customHeight="1" spans="1:27">
      <c r="A1026" s="87"/>
      <c r="B1026" s="87"/>
      <c r="C1026" s="87"/>
      <c r="D1026" s="87"/>
      <c r="E1026" s="203"/>
      <c r="F1026" s="87"/>
      <c r="G1026" s="204"/>
      <c r="H1026" s="87"/>
      <c r="I1026" s="87"/>
      <c r="J1026" s="87"/>
      <c r="K1026" s="87"/>
      <c r="L1026" s="87"/>
      <c r="M1026" s="87"/>
      <c r="N1026" s="87"/>
      <c r="O1026" s="87"/>
      <c r="P1026" s="87"/>
      <c r="Q1026" s="87"/>
      <c r="R1026" s="155"/>
      <c r="S1026" s="156"/>
      <c r="T1026" s="157"/>
      <c r="U1026" s="173"/>
      <c r="V1026" s="157"/>
      <c r="W1026" s="157"/>
      <c r="X1026" s="87"/>
      <c r="Y1026" s="87"/>
      <c r="Z1026" s="87"/>
      <c r="AA1026" s="87"/>
    </row>
    <row r="1027" ht="12" customHeight="1" spans="1:27">
      <c r="A1027" s="87"/>
      <c r="B1027" s="87"/>
      <c r="C1027" s="87"/>
      <c r="D1027" s="87"/>
      <c r="E1027" s="203"/>
      <c r="F1027" s="87"/>
      <c r="G1027" s="204"/>
      <c r="H1027" s="87"/>
      <c r="I1027" s="87"/>
      <c r="J1027" s="87"/>
      <c r="K1027" s="87"/>
      <c r="L1027" s="87"/>
      <c r="M1027" s="87"/>
      <c r="N1027" s="87"/>
      <c r="O1027" s="87"/>
      <c r="P1027" s="87"/>
      <c r="Q1027" s="87"/>
      <c r="R1027" s="155"/>
      <c r="S1027" s="156"/>
      <c r="T1027" s="157"/>
      <c r="U1027" s="173"/>
      <c r="V1027" s="157"/>
      <c r="W1027" s="157"/>
      <c r="X1027" s="87"/>
      <c r="Y1027" s="87"/>
      <c r="Z1027" s="87"/>
      <c r="AA1027" s="87"/>
    </row>
    <row r="1028" ht="12" customHeight="1" spans="1:27">
      <c r="A1028" s="87"/>
      <c r="B1028" s="87"/>
      <c r="C1028" s="87"/>
      <c r="D1028" s="87"/>
      <c r="E1028" s="203"/>
      <c r="F1028" s="87"/>
      <c r="G1028" s="204"/>
      <c r="H1028" s="87"/>
      <c r="I1028" s="87"/>
      <c r="J1028" s="87"/>
      <c r="K1028" s="87"/>
      <c r="L1028" s="87"/>
      <c r="M1028" s="87"/>
      <c r="N1028" s="87"/>
      <c r="O1028" s="87"/>
      <c r="P1028" s="87"/>
      <c r="Q1028" s="87"/>
      <c r="R1028" s="155"/>
      <c r="S1028" s="156"/>
      <c r="T1028" s="157"/>
      <c r="U1028" s="173"/>
      <c r="V1028" s="157"/>
      <c r="W1028" s="157"/>
      <c r="X1028" s="87"/>
      <c r="Y1028" s="87"/>
      <c r="Z1028" s="87"/>
      <c r="AA1028" s="87"/>
    </row>
    <row r="1029" ht="12" customHeight="1" spans="1:27">
      <c r="A1029" s="87"/>
      <c r="B1029" s="87"/>
      <c r="C1029" s="87"/>
      <c r="D1029" s="87"/>
      <c r="E1029" s="203"/>
      <c r="F1029" s="87"/>
      <c r="G1029" s="204"/>
      <c r="H1029" s="87"/>
      <c r="I1029" s="87"/>
      <c r="J1029" s="87"/>
      <c r="K1029" s="87"/>
      <c r="L1029" s="87"/>
      <c r="M1029" s="87"/>
      <c r="N1029" s="87"/>
      <c r="O1029" s="87"/>
      <c r="P1029" s="87"/>
      <c r="Q1029" s="87"/>
      <c r="R1029" s="155"/>
      <c r="S1029" s="156"/>
      <c r="T1029" s="157"/>
      <c r="U1029" s="173"/>
      <c r="V1029" s="157"/>
      <c r="W1029" s="157"/>
      <c r="X1029" s="87"/>
      <c r="Y1029" s="87"/>
      <c r="Z1029" s="87"/>
      <c r="AA1029" s="87"/>
    </row>
    <row r="1030" ht="12" customHeight="1" spans="1:27">
      <c r="A1030" s="87"/>
      <c r="B1030" s="87"/>
      <c r="C1030" s="87"/>
      <c r="D1030" s="87"/>
      <c r="E1030" s="203"/>
      <c r="F1030" s="87"/>
      <c r="G1030" s="204"/>
      <c r="H1030" s="87"/>
      <c r="I1030" s="87"/>
      <c r="J1030" s="87"/>
      <c r="K1030" s="87"/>
      <c r="L1030" s="87"/>
      <c r="M1030" s="87"/>
      <c r="N1030" s="87"/>
      <c r="O1030" s="87"/>
      <c r="P1030" s="87"/>
      <c r="Q1030" s="87"/>
      <c r="R1030" s="155"/>
      <c r="S1030" s="156"/>
      <c r="T1030" s="157"/>
      <c r="U1030" s="173"/>
      <c r="V1030" s="157"/>
      <c r="W1030" s="157"/>
      <c r="X1030" s="87"/>
      <c r="Y1030" s="87"/>
      <c r="Z1030" s="87"/>
      <c r="AA1030" s="87"/>
    </row>
    <row r="1031" ht="12" customHeight="1" spans="1:27">
      <c r="A1031" s="87"/>
      <c r="B1031" s="87"/>
      <c r="C1031" s="87"/>
      <c r="D1031" s="87"/>
      <c r="E1031" s="203"/>
      <c r="F1031" s="87"/>
      <c r="G1031" s="204"/>
      <c r="H1031" s="87"/>
      <c r="I1031" s="87"/>
      <c r="J1031" s="87"/>
      <c r="K1031" s="87"/>
      <c r="L1031" s="87"/>
      <c r="M1031" s="87"/>
      <c r="N1031" s="87"/>
      <c r="O1031" s="87"/>
      <c r="P1031" s="87"/>
      <c r="Q1031" s="87"/>
      <c r="R1031" s="155"/>
      <c r="S1031" s="156"/>
      <c r="T1031" s="157"/>
      <c r="U1031" s="173"/>
      <c r="V1031" s="157"/>
      <c r="W1031" s="157"/>
      <c r="X1031" s="87"/>
      <c r="Y1031" s="87"/>
      <c r="Z1031" s="87"/>
      <c r="AA1031" s="87"/>
    </row>
    <row r="1032" ht="12" customHeight="1" spans="1:27">
      <c r="A1032" s="87"/>
      <c r="B1032" s="87"/>
      <c r="C1032" s="87"/>
      <c r="D1032" s="87"/>
      <c r="E1032" s="203"/>
      <c r="F1032" s="87"/>
      <c r="G1032" s="204"/>
      <c r="H1032" s="87"/>
      <c r="I1032" s="87"/>
      <c r="J1032" s="87"/>
      <c r="K1032" s="87"/>
      <c r="L1032" s="87"/>
      <c r="M1032" s="87"/>
      <c r="N1032" s="87"/>
      <c r="O1032" s="87"/>
      <c r="P1032" s="87"/>
      <c r="Q1032" s="87"/>
      <c r="R1032" s="155"/>
      <c r="S1032" s="156"/>
      <c r="T1032" s="157"/>
      <c r="U1032" s="173"/>
      <c r="V1032" s="157"/>
      <c r="W1032" s="157"/>
      <c r="X1032" s="87"/>
      <c r="Y1032" s="87"/>
      <c r="Z1032" s="87"/>
      <c r="AA1032" s="87"/>
    </row>
    <row r="1033" ht="12" customHeight="1" spans="1:27">
      <c r="A1033" s="87"/>
      <c r="B1033" s="87"/>
      <c r="C1033" s="87"/>
      <c r="D1033" s="87"/>
      <c r="E1033" s="203"/>
      <c r="F1033" s="87"/>
      <c r="G1033" s="204"/>
      <c r="H1033" s="87"/>
      <c r="I1033" s="87"/>
      <c r="J1033" s="87"/>
      <c r="K1033" s="87"/>
      <c r="L1033" s="87"/>
      <c r="M1033" s="87"/>
      <c r="N1033" s="87"/>
      <c r="O1033" s="87"/>
      <c r="P1033" s="87"/>
      <c r="Q1033" s="87"/>
      <c r="R1033" s="155"/>
      <c r="S1033" s="156"/>
      <c r="T1033" s="157"/>
      <c r="U1033" s="173"/>
      <c r="V1033" s="157"/>
      <c r="W1033" s="157"/>
      <c r="X1033" s="87"/>
      <c r="Y1033" s="87"/>
      <c r="Z1033" s="87"/>
      <c r="AA1033" s="87"/>
    </row>
    <row r="1034" ht="12" customHeight="1" spans="1:27">
      <c r="A1034" s="87"/>
      <c r="B1034" s="87"/>
      <c r="C1034" s="87"/>
      <c r="D1034" s="87"/>
      <c r="E1034" s="203"/>
      <c r="F1034" s="87"/>
      <c r="G1034" s="204"/>
      <c r="H1034" s="87"/>
      <c r="I1034" s="87"/>
      <c r="J1034" s="87"/>
      <c r="K1034" s="87"/>
      <c r="L1034" s="87"/>
      <c r="M1034" s="87"/>
      <c r="N1034" s="87"/>
      <c r="O1034" s="87"/>
      <c r="P1034" s="87"/>
      <c r="Q1034" s="87"/>
      <c r="R1034" s="155"/>
      <c r="S1034" s="156"/>
      <c r="T1034" s="157"/>
      <c r="U1034" s="173"/>
      <c r="V1034" s="157"/>
      <c r="W1034" s="157"/>
      <c r="X1034" s="87"/>
      <c r="Y1034" s="87"/>
      <c r="Z1034" s="87"/>
      <c r="AA1034" s="87"/>
    </row>
    <row r="1035" ht="12" customHeight="1" spans="1:27">
      <c r="A1035" s="87"/>
      <c r="B1035" s="87"/>
      <c r="C1035" s="87"/>
      <c r="D1035" s="87"/>
      <c r="E1035" s="203"/>
      <c r="F1035" s="87"/>
      <c r="G1035" s="204"/>
      <c r="H1035" s="87"/>
      <c r="I1035" s="87"/>
      <c r="J1035" s="87"/>
      <c r="K1035" s="87"/>
      <c r="L1035" s="87"/>
      <c r="M1035" s="87"/>
      <c r="N1035" s="87"/>
      <c r="O1035" s="87"/>
      <c r="P1035" s="87"/>
      <c r="Q1035" s="87"/>
      <c r="R1035" s="155"/>
      <c r="S1035" s="156"/>
      <c r="T1035" s="157"/>
      <c r="U1035" s="173"/>
      <c r="V1035" s="157"/>
      <c r="W1035" s="157"/>
      <c r="X1035" s="87"/>
      <c r="Y1035" s="87"/>
      <c r="Z1035" s="87"/>
      <c r="AA1035" s="87"/>
    </row>
    <row r="1036" ht="12" customHeight="1" spans="1:27">
      <c r="A1036" s="87"/>
      <c r="B1036" s="87"/>
      <c r="C1036" s="87"/>
      <c r="D1036" s="87"/>
      <c r="E1036" s="203"/>
      <c r="F1036" s="87"/>
      <c r="G1036" s="204"/>
      <c r="H1036" s="87"/>
      <c r="I1036" s="87"/>
      <c r="J1036" s="87"/>
      <c r="K1036" s="87"/>
      <c r="L1036" s="87"/>
      <c r="M1036" s="87"/>
      <c r="N1036" s="87"/>
      <c r="O1036" s="87"/>
      <c r="P1036" s="87"/>
      <c r="Q1036" s="87"/>
      <c r="R1036" s="155"/>
      <c r="S1036" s="156"/>
      <c r="T1036" s="157"/>
      <c r="U1036" s="173"/>
      <c r="V1036" s="157"/>
      <c r="W1036" s="157"/>
      <c r="X1036" s="87"/>
      <c r="Y1036" s="87"/>
      <c r="Z1036" s="87"/>
      <c r="AA1036" s="87"/>
    </row>
    <row r="1037" ht="12" customHeight="1" spans="1:27">
      <c r="A1037" s="87"/>
      <c r="B1037" s="87"/>
      <c r="C1037" s="87"/>
      <c r="D1037" s="87"/>
      <c r="E1037" s="203"/>
      <c r="F1037" s="87"/>
      <c r="G1037" s="204"/>
      <c r="H1037" s="87"/>
      <c r="I1037" s="87"/>
      <c r="J1037" s="87"/>
      <c r="K1037" s="87"/>
      <c r="L1037" s="87"/>
      <c r="M1037" s="87"/>
      <c r="N1037" s="87"/>
      <c r="O1037" s="87"/>
      <c r="P1037" s="87"/>
      <c r="Q1037" s="87"/>
      <c r="R1037" s="155"/>
      <c r="S1037" s="156"/>
      <c r="T1037" s="157"/>
      <c r="U1037" s="173"/>
      <c r="V1037" s="157"/>
      <c r="W1037" s="157"/>
      <c r="X1037" s="87"/>
      <c r="Y1037" s="87"/>
      <c r="Z1037" s="87"/>
      <c r="AA1037" s="87"/>
    </row>
    <row r="1038" ht="12" customHeight="1" spans="1:27">
      <c r="A1038" s="87"/>
      <c r="B1038" s="87"/>
      <c r="C1038" s="87"/>
      <c r="D1038" s="87"/>
      <c r="E1038" s="203"/>
      <c r="F1038" s="87"/>
      <c r="G1038" s="204"/>
      <c r="H1038" s="87"/>
      <c r="I1038" s="87"/>
      <c r="J1038" s="87"/>
      <c r="K1038" s="87"/>
      <c r="L1038" s="87"/>
      <c r="M1038" s="87"/>
      <c r="N1038" s="87"/>
      <c r="O1038" s="87"/>
      <c r="P1038" s="87"/>
      <c r="Q1038" s="87"/>
      <c r="R1038" s="155"/>
      <c r="S1038" s="156"/>
      <c r="T1038" s="157"/>
      <c r="U1038" s="173"/>
      <c r="V1038" s="157"/>
      <c r="W1038" s="157"/>
      <c r="X1038" s="87"/>
      <c r="Y1038" s="87"/>
      <c r="Z1038" s="87"/>
      <c r="AA1038" s="87"/>
    </row>
    <row r="1039" ht="12" customHeight="1" spans="1:27">
      <c r="A1039" s="87"/>
      <c r="B1039" s="87"/>
      <c r="C1039" s="87"/>
      <c r="D1039" s="87"/>
      <c r="E1039" s="203"/>
      <c r="F1039" s="87"/>
      <c r="G1039" s="204"/>
      <c r="H1039" s="87"/>
      <c r="I1039" s="87"/>
      <c r="J1039" s="87"/>
      <c r="K1039" s="87"/>
      <c r="L1039" s="87"/>
      <c r="M1039" s="87"/>
      <c r="N1039" s="87"/>
      <c r="O1039" s="87"/>
      <c r="P1039" s="87"/>
      <c r="Q1039" s="87"/>
      <c r="R1039" s="155"/>
      <c r="S1039" s="156"/>
      <c r="T1039" s="157"/>
      <c r="U1039" s="173"/>
      <c r="V1039" s="157"/>
      <c r="W1039" s="157"/>
      <c r="X1039" s="87"/>
      <c r="Y1039" s="87"/>
      <c r="Z1039" s="87"/>
      <c r="AA1039" s="87"/>
    </row>
    <row r="1040" ht="12" customHeight="1" spans="1:27">
      <c r="A1040" s="87"/>
      <c r="B1040" s="87"/>
      <c r="C1040" s="87"/>
      <c r="D1040" s="87"/>
      <c r="E1040" s="203"/>
      <c r="F1040" s="87"/>
      <c r="G1040" s="204"/>
      <c r="H1040" s="87"/>
      <c r="I1040" s="87"/>
      <c r="J1040" s="87"/>
      <c r="K1040" s="87"/>
      <c r="L1040" s="87"/>
      <c r="M1040" s="87"/>
      <c r="N1040" s="87"/>
      <c r="O1040" s="87"/>
      <c r="P1040" s="87"/>
      <c r="Q1040" s="87"/>
      <c r="R1040" s="155"/>
      <c r="S1040" s="156"/>
      <c r="T1040" s="157"/>
      <c r="U1040" s="173"/>
      <c r="V1040" s="157"/>
      <c r="W1040" s="157"/>
      <c r="X1040" s="87"/>
      <c r="Y1040" s="87"/>
      <c r="Z1040" s="87"/>
      <c r="AA1040" s="87"/>
    </row>
    <row r="1041" ht="12" customHeight="1" spans="1:27">
      <c r="A1041" s="87"/>
      <c r="B1041" s="87"/>
      <c r="C1041" s="87"/>
      <c r="D1041" s="87"/>
      <c r="E1041" s="203"/>
      <c r="F1041" s="87"/>
      <c r="G1041" s="204"/>
      <c r="H1041" s="87"/>
      <c r="I1041" s="87"/>
      <c r="J1041" s="87"/>
      <c r="K1041" s="87"/>
      <c r="L1041" s="87"/>
      <c r="M1041" s="87"/>
      <c r="N1041" s="87"/>
      <c r="O1041" s="87"/>
      <c r="P1041" s="87"/>
      <c r="Q1041" s="87"/>
      <c r="R1041" s="155"/>
      <c r="S1041" s="156"/>
      <c r="T1041" s="157"/>
      <c r="U1041" s="173"/>
      <c r="V1041" s="157"/>
      <c r="W1041" s="157"/>
      <c r="X1041" s="87"/>
      <c r="Y1041" s="87"/>
      <c r="Z1041" s="87"/>
      <c r="AA1041" s="87"/>
    </row>
    <row r="1042" ht="12" customHeight="1" spans="1:27">
      <c r="A1042" s="87"/>
      <c r="B1042" s="87"/>
      <c r="C1042" s="87"/>
      <c r="D1042" s="87"/>
      <c r="E1042" s="203"/>
      <c r="F1042" s="87"/>
      <c r="G1042" s="204"/>
      <c r="H1042" s="87"/>
      <c r="I1042" s="87"/>
      <c r="J1042" s="87"/>
      <c r="K1042" s="87"/>
      <c r="L1042" s="87"/>
      <c r="M1042" s="87"/>
      <c r="N1042" s="87"/>
      <c r="O1042" s="87"/>
      <c r="P1042" s="87"/>
      <c r="Q1042" s="87"/>
      <c r="R1042" s="155"/>
      <c r="S1042" s="156"/>
      <c r="T1042" s="157"/>
      <c r="U1042" s="173"/>
      <c r="V1042" s="157"/>
      <c r="W1042" s="157"/>
      <c r="X1042" s="87"/>
      <c r="Y1042" s="87"/>
      <c r="Z1042" s="87"/>
      <c r="AA1042" s="87"/>
    </row>
    <row r="1043" ht="12" customHeight="1" spans="1:27">
      <c r="A1043" s="87"/>
      <c r="B1043" s="87"/>
      <c r="C1043" s="87"/>
      <c r="D1043" s="87"/>
      <c r="E1043" s="203"/>
      <c r="F1043" s="87"/>
      <c r="G1043" s="204"/>
      <c r="H1043" s="87"/>
      <c r="I1043" s="87"/>
      <c r="J1043" s="87"/>
      <c r="K1043" s="87"/>
      <c r="L1043" s="87"/>
      <c r="M1043" s="87"/>
      <c r="N1043" s="87"/>
      <c r="O1043" s="87"/>
      <c r="P1043" s="87"/>
      <c r="Q1043" s="87"/>
      <c r="R1043" s="155"/>
      <c r="S1043" s="156"/>
      <c r="T1043" s="157"/>
      <c r="U1043" s="173"/>
      <c r="V1043" s="157"/>
      <c r="W1043" s="157"/>
      <c r="X1043" s="87"/>
      <c r="Y1043" s="87"/>
      <c r="Z1043" s="87"/>
      <c r="AA1043" s="87"/>
    </row>
    <row r="1044" ht="12" customHeight="1" spans="1:27">
      <c r="A1044" s="87"/>
      <c r="B1044" s="87"/>
      <c r="C1044" s="87"/>
      <c r="D1044" s="87"/>
      <c r="E1044" s="203"/>
      <c r="F1044" s="87"/>
      <c r="G1044" s="204"/>
      <c r="H1044" s="87"/>
      <c r="I1044" s="87"/>
      <c r="J1044" s="87"/>
      <c r="K1044" s="87"/>
      <c r="L1044" s="87"/>
      <c r="M1044" s="87"/>
      <c r="N1044" s="87"/>
      <c r="O1044" s="87"/>
      <c r="P1044" s="87"/>
      <c r="Q1044" s="87"/>
      <c r="R1044" s="155"/>
      <c r="S1044" s="156"/>
      <c r="T1044" s="157"/>
      <c r="U1044" s="173"/>
      <c r="V1044" s="157"/>
      <c r="W1044" s="157"/>
      <c r="X1044" s="87"/>
      <c r="Y1044" s="87"/>
      <c r="Z1044" s="87"/>
      <c r="AA1044" s="87"/>
    </row>
    <row r="1045" ht="12" customHeight="1" spans="1:27">
      <c r="A1045" s="87"/>
      <c r="B1045" s="87"/>
      <c r="C1045" s="87"/>
      <c r="D1045" s="87"/>
      <c r="E1045" s="203"/>
      <c r="F1045" s="87"/>
      <c r="G1045" s="204"/>
      <c r="H1045" s="87"/>
      <c r="I1045" s="87"/>
      <c r="J1045" s="87"/>
      <c r="K1045" s="87"/>
      <c r="L1045" s="87"/>
      <c r="M1045" s="87"/>
      <c r="N1045" s="87"/>
      <c r="O1045" s="87"/>
      <c r="P1045" s="87"/>
      <c r="Q1045" s="87"/>
      <c r="R1045" s="155"/>
      <c r="S1045" s="156"/>
      <c r="T1045" s="157"/>
      <c r="U1045" s="173"/>
      <c r="V1045" s="157"/>
      <c r="W1045" s="157"/>
      <c r="X1045" s="87"/>
      <c r="Y1045" s="87"/>
      <c r="Z1045" s="87"/>
      <c r="AA1045" s="87"/>
    </row>
    <row r="1046" ht="12" customHeight="1" spans="1:27">
      <c r="A1046" s="87"/>
      <c r="B1046" s="87"/>
      <c r="C1046" s="87"/>
      <c r="D1046" s="87"/>
      <c r="E1046" s="203"/>
      <c r="F1046" s="87"/>
      <c r="G1046" s="204"/>
      <c r="H1046" s="87"/>
      <c r="I1046" s="87"/>
      <c r="J1046" s="87"/>
      <c r="K1046" s="87"/>
      <c r="L1046" s="87"/>
      <c r="M1046" s="87"/>
      <c r="N1046" s="87"/>
      <c r="O1046" s="87"/>
      <c r="P1046" s="87"/>
      <c r="Q1046" s="87"/>
      <c r="R1046" s="155"/>
      <c r="S1046" s="156"/>
      <c r="T1046" s="157"/>
      <c r="U1046" s="173"/>
      <c r="V1046" s="157"/>
      <c r="W1046" s="157"/>
      <c r="X1046" s="87"/>
      <c r="Y1046" s="87"/>
      <c r="Z1046" s="87"/>
      <c r="AA1046" s="87"/>
    </row>
    <row r="1047" ht="12" customHeight="1" spans="1:27">
      <c r="A1047" s="87"/>
      <c r="B1047" s="87"/>
      <c r="C1047" s="87"/>
      <c r="D1047" s="87"/>
      <c r="E1047" s="203"/>
      <c r="F1047" s="87"/>
      <c r="G1047" s="204"/>
      <c r="H1047" s="87"/>
      <c r="I1047" s="87"/>
      <c r="J1047" s="87"/>
      <c r="K1047" s="87"/>
      <c r="L1047" s="87"/>
      <c r="M1047" s="87"/>
      <c r="N1047" s="87"/>
      <c r="O1047" s="87"/>
      <c r="P1047" s="87"/>
      <c r="Q1047" s="87"/>
      <c r="R1047" s="155"/>
      <c r="S1047" s="156"/>
      <c r="T1047" s="157"/>
      <c r="U1047" s="173"/>
      <c r="V1047" s="157"/>
      <c r="W1047" s="157"/>
      <c r="X1047" s="87"/>
      <c r="Y1047" s="87"/>
      <c r="Z1047" s="87"/>
      <c r="AA1047" s="87"/>
    </row>
    <row r="1048" ht="12" customHeight="1" spans="1:27">
      <c r="A1048" s="87"/>
      <c r="B1048" s="87"/>
      <c r="C1048" s="87"/>
      <c r="D1048" s="87"/>
      <c r="E1048" s="203"/>
      <c r="F1048" s="87"/>
      <c r="G1048" s="204"/>
      <c r="H1048" s="87"/>
      <c r="I1048" s="87"/>
      <c r="J1048" s="87"/>
      <c r="K1048" s="87"/>
      <c r="L1048" s="87"/>
      <c r="M1048" s="87"/>
      <c r="N1048" s="87"/>
      <c r="O1048" s="87"/>
      <c r="P1048" s="87"/>
      <c r="Q1048" s="87"/>
      <c r="R1048" s="155"/>
      <c r="S1048" s="156"/>
      <c r="T1048" s="157"/>
      <c r="U1048" s="173"/>
      <c r="V1048" s="157"/>
      <c r="W1048" s="157"/>
      <c r="X1048" s="87"/>
      <c r="Y1048" s="87"/>
      <c r="Z1048" s="87"/>
      <c r="AA1048" s="87"/>
    </row>
    <row r="1049" ht="12" customHeight="1" spans="1:27">
      <c r="A1049" s="87"/>
      <c r="B1049" s="87"/>
      <c r="C1049" s="87"/>
      <c r="D1049" s="87"/>
      <c r="E1049" s="203"/>
      <c r="F1049" s="87"/>
      <c r="G1049" s="204"/>
      <c r="H1049" s="87"/>
      <c r="I1049" s="87"/>
      <c r="J1049" s="87"/>
      <c r="K1049" s="87"/>
      <c r="L1049" s="87"/>
      <c r="M1049" s="87"/>
      <c r="N1049" s="87"/>
      <c r="O1049" s="87"/>
      <c r="P1049" s="87"/>
      <c r="Q1049" s="87"/>
      <c r="R1049" s="155"/>
      <c r="S1049" s="156"/>
      <c r="T1049" s="157"/>
      <c r="U1049" s="173"/>
      <c r="V1049" s="157"/>
      <c r="W1049" s="157"/>
      <c r="X1049" s="87"/>
      <c r="Y1049" s="87"/>
      <c r="Z1049" s="87"/>
      <c r="AA1049" s="87"/>
    </row>
    <row r="1050" ht="12" customHeight="1" spans="1:27">
      <c r="A1050" s="87"/>
      <c r="B1050" s="87"/>
      <c r="C1050" s="87"/>
      <c r="D1050" s="87"/>
      <c r="E1050" s="203"/>
      <c r="F1050" s="87"/>
      <c r="G1050" s="204"/>
      <c r="H1050" s="87"/>
      <c r="I1050" s="87"/>
      <c r="J1050" s="87"/>
      <c r="K1050" s="87"/>
      <c r="L1050" s="87"/>
      <c r="M1050" s="87"/>
      <c r="N1050" s="87"/>
      <c r="O1050" s="87"/>
      <c r="P1050" s="87"/>
      <c r="Q1050" s="87"/>
      <c r="R1050" s="155"/>
      <c r="S1050" s="156"/>
      <c r="T1050" s="157"/>
      <c r="U1050" s="173"/>
      <c r="V1050" s="157"/>
      <c r="W1050" s="157"/>
      <c r="X1050" s="87"/>
      <c r="Y1050" s="87"/>
      <c r="Z1050" s="87"/>
      <c r="AA1050" s="87"/>
    </row>
    <row r="1051" ht="12" customHeight="1" spans="1:27">
      <c r="A1051" s="87"/>
      <c r="B1051" s="87"/>
      <c r="C1051" s="87"/>
      <c r="D1051" s="87"/>
      <c r="E1051" s="203"/>
      <c r="F1051" s="87"/>
      <c r="G1051" s="204"/>
      <c r="H1051" s="87"/>
      <c r="I1051" s="87"/>
      <c r="J1051" s="87"/>
      <c r="K1051" s="87"/>
      <c r="L1051" s="87"/>
      <c r="M1051" s="87"/>
      <c r="N1051" s="87"/>
      <c r="O1051" s="87"/>
      <c r="P1051" s="87"/>
      <c r="Q1051" s="87"/>
      <c r="R1051" s="155"/>
      <c r="S1051" s="156"/>
      <c r="T1051" s="157"/>
      <c r="U1051" s="173"/>
      <c r="V1051" s="157"/>
      <c r="W1051" s="157"/>
      <c r="X1051" s="87"/>
      <c r="Y1051" s="87"/>
      <c r="Z1051" s="87"/>
      <c r="AA1051" s="87"/>
    </row>
    <row r="1052" ht="12" customHeight="1" spans="1:27">
      <c r="A1052" s="87"/>
      <c r="B1052" s="87"/>
      <c r="C1052" s="87"/>
      <c r="D1052" s="87"/>
      <c r="E1052" s="203"/>
      <c r="F1052" s="87"/>
      <c r="G1052" s="204"/>
      <c r="H1052" s="87"/>
      <c r="I1052" s="87"/>
      <c r="J1052" s="87"/>
      <c r="K1052" s="87"/>
      <c r="L1052" s="87"/>
      <c r="M1052" s="87"/>
      <c r="N1052" s="87"/>
      <c r="O1052" s="87"/>
      <c r="P1052" s="87"/>
      <c r="Q1052" s="87"/>
      <c r="R1052" s="155"/>
      <c r="S1052" s="156"/>
      <c r="T1052" s="157"/>
      <c r="U1052" s="173"/>
      <c r="V1052" s="157"/>
      <c r="W1052" s="157"/>
      <c r="X1052" s="87"/>
      <c r="Y1052" s="87"/>
      <c r="Z1052" s="87"/>
      <c r="AA1052" s="87"/>
    </row>
    <row r="1053" ht="12" customHeight="1" spans="1:27">
      <c r="A1053" s="87"/>
      <c r="B1053" s="87"/>
      <c r="C1053" s="87"/>
      <c r="D1053" s="87"/>
      <c r="E1053" s="203"/>
      <c r="F1053" s="87"/>
      <c r="G1053" s="204"/>
      <c r="H1053" s="87"/>
      <c r="I1053" s="87"/>
      <c r="J1053" s="87"/>
      <c r="K1053" s="87"/>
      <c r="L1053" s="87"/>
      <c r="M1053" s="87"/>
      <c r="N1053" s="87"/>
      <c r="O1053" s="87"/>
      <c r="P1053" s="87"/>
      <c r="Q1053" s="87"/>
      <c r="R1053" s="155"/>
      <c r="S1053" s="156"/>
      <c r="T1053" s="157"/>
      <c r="U1053" s="173"/>
      <c r="V1053" s="157"/>
      <c r="W1053" s="157"/>
      <c r="X1053" s="87"/>
      <c r="Y1053" s="87"/>
      <c r="Z1053" s="87"/>
      <c r="AA1053" s="87"/>
    </row>
    <row r="1054" ht="12" customHeight="1" spans="1:27">
      <c r="A1054" s="87"/>
      <c r="B1054" s="87"/>
      <c r="C1054" s="87"/>
      <c r="D1054" s="87"/>
      <c r="E1054" s="203"/>
      <c r="F1054" s="87"/>
      <c r="G1054" s="204"/>
      <c r="H1054" s="87"/>
      <c r="I1054" s="87"/>
      <c r="J1054" s="87"/>
      <c r="K1054" s="87"/>
      <c r="L1054" s="87"/>
      <c r="M1054" s="87"/>
      <c r="N1054" s="87"/>
      <c r="O1054" s="87"/>
      <c r="P1054" s="87"/>
      <c r="Q1054" s="87"/>
      <c r="R1054" s="155"/>
      <c r="S1054" s="156"/>
      <c r="T1054" s="157"/>
      <c r="U1054" s="173"/>
      <c r="V1054" s="157"/>
      <c r="W1054" s="157"/>
      <c r="X1054" s="87"/>
      <c r="Y1054" s="87"/>
      <c r="Z1054" s="87"/>
      <c r="AA1054" s="87"/>
    </row>
    <row r="1055" ht="12" customHeight="1" spans="1:27">
      <c r="A1055" s="87"/>
      <c r="B1055" s="87"/>
      <c r="C1055" s="87"/>
      <c r="D1055" s="87"/>
      <c r="E1055" s="203"/>
      <c r="F1055" s="87"/>
      <c r="G1055" s="204"/>
      <c r="H1055" s="87"/>
      <c r="I1055" s="87"/>
      <c r="J1055" s="87"/>
      <c r="K1055" s="87"/>
      <c r="L1055" s="87"/>
      <c r="M1055" s="87"/>
      <c r="N1055" s="87"/>
      <c r="O1055" s="87"/>
      <c r="P1055" s="87"/>
      <c r="Q1055" s="87"/>
      <c r="R1055" s="155"/>
      <c r="S1055" s="156"/>
      <c r="T1055" s="157"/>
      <c r="U1055" s="173"/>
      <c r="V1055" s="157"/>
      <c r="W1055" s="157"/>
      <c r="X1055" s="87"/>
      <c r="Y1055" s="87"/>
      <c r="Z1055" s="87"/>
      <c r="AA1055" s="87"/>
    </row>
    <row r="1056" ht="12" customHeight="1" spans="1:27">
      <c r="A1056" s="87"/>
      <c r="B1056" s="87"/>
      <c r="C1056" s="87"/>
      <c r="D1056" s="87"/>
      <c r="E1056" s="203"/>
      <c r="F1056" s="87"/>
      <c r="G1056" s="204"/>
      <c r="H1056" s="87"/>
      <c r="I1056" s="87"/>
      <c r="J1056" s="87"/>
      <c r="K1056" s="87"/>
      <c r="L1056" s="87"/>
      <c r="M1056" s="87"/>
      <c r="N1056" s="87"/>
      <c r="O1056" s="87"/>
      <c r="P1056" s="87"/>
      <c r="Q1056" s="87"/>
      <c r="R1056" s="155"/>
      <c r="S1056" s="156"/>
      <c r="T1056" s="157"/>
      <c r="U1056" s="173"/>
      <c r="V1056" s="157"/>
      <c r="W1056" s="157"/>
      <c r="X1056" s="87"/>
      <c r="Y1056" s="87"/>
      <c r="Z1056" s="87"/>
      <c r="AA1056" s="87"/>
    </row>
    <row r="1057" ht="12" customHeight="1" spans="1:27">
      <c r="A1057" s="87"/>
      <c r="B1057" s="87"/>
      <c r="C1057" s="87"/>
      <c r="D1057" s="87"/>
      <c r="E1057" s="203"/>
      <c r="F1057" s="87"/>
      <c r="G1057" s="204"/>
      <c r="H1057" s="87"/>
      <c r="I1057" s="87"/>
      <c r="J1057" s="87"/>
      <c r="K1057" s="87"/>
      <c r="L1057" s="87"/>
      <c r="M1057" s="87"/>
      <c r="N1057" s="87"/>
      <c r="O1057" s="87"/>
      <c r="P1057" s="87"/>
      <c r="Q1057" s="87"/>
      <c r="R1057" s="155"/>
      <c r="S1057" s="156"/>
      <c r="T1057" s="157"/>
      <c r="U1057" s="173"/>
      <c r="V1057" s="157"/>
      <c r="W1057" s="157"/>
      <c r="X1057" s="87"/>
      <c r="Y1057" s="87"/>
      <c r="Z1057" s="87"/>
      <c r="AA1057" s="87"/>
    </row>
    <row r="1058" ht="12" customHeight="1" spans="1:27">
      <c r="A1058" s="87"/>
      <c r="B1058" s="87"/>
      <c r="C1058" s="87"/>
      <c r="D1058" s="87"/>
      <c r="E1058" s="203"/>
      <c r="F1058" s="87"/>
      <c r="G1058" s="204"/>
      <c r="H1058" s="87"/>
      <c r="I1058" s="87"/>
      <c r="J1058" s="87"/>
      <c r="K1058" s="87"/>
      <c r="L1058" s="87"/>
      <c r="M1058" s="87"/>
      <c r="N1058" s="87"/>
      <c r="O1058" s="87"/>
      <c r="P1058" s="87"/>
      <c r="Q1058" s="87"/>
      <c r="R1058" s="155"/>
      <c r="S1058" s="156"/>
      <c r="T1058" s="157"/>
      <c r="U1058" s="173"/>
      <c r="V1058" s="157"/>
      <c r="W1058" s="157"/>
      <c r="X1058" s="87"/>
      <c r="Y1058" s="87"/>
      <c r="Z1058" s="87"/>
      <c r="AA1058" s="87"/>
    </row>
    <row r="1059" ht="12" customHeight="1" spans="1:27">
      <c r="A1059" s="87"/>
      <c r="B1059" s="87"/>
      <c r="C1059" s="87"/>
      <c r="D1059" s="87"/>
      <c r="E1059" s="203"/>
      <c r="F1059" s="87"/>
      <c r="G1059" s="204"/>
      <c r="H1059" s="87"/>
      <c r="I1059" s="87"/>
      <c r="J1059" s="87"/>
      <c r="K1059" s="87"/>
      <c r="L1059" s="87"/>
      <c r="M1059" s="87"/>
      <c r="N1059" s="87"/>
      <c r="O1059" s="87"/>
      <c r="P1059" s="87"/>
      <c r="Q1059" s="87"/>
      <c r="R1059" s="155"/>
      <c r="S1059" s="156"/>
      <c r="T1059" s="157"/>
      <c r="U1059" s="173"/>
      <c r="V1059" s="157"/>
      <c r="W1059" s="157"/>
      <c r="X1059" s="87"/>
      <c r="Y1059" s="87"/>
      <c r="Z1059" s="87"/>
      <c r="AA1059" s="87"/>
    </row>
    <row r="1060" ht="12" customHeight="1" spans="1:27">
      <c r="A1060" s="87"/>
      <c r="B1060" s="87"/>
      <c r="C1060" s="87"/>
      <c r="D1060" s="87"/>
      <c r="E1060" s="203"/>
      <c r="F1060" s="87"/>
      <c r="G1060" s="204"/>
      <c r="H1060" s="87"/>
      <c r="I1060" s="87"/>
      <c r="J1060" s="87"/>
      <c r="K1060" s="87"/>
      <c r="L1060" s="87"/>
      <c r="M1060" s="87"/>
      <c r="N1060" s="87"/>
      <c r="O1060" s="87"/>
      <c r="P1060" s="87"/>
      <c r="Q1060" s="87"/>
      <c r="R1060" s="155"/>
      <c r="S1060" s="156"/>
      <c r="T1060" s="157"/>
      <c r="U1060" s="173"/>
      <c r="V1060" s="157"/>
      <c r="W1060" s="157"/>
      <c r="X1060" s="87"/>
      <c r="Y1060" s="87"/>
      <c r="Z1060" s="87"/>
      <c r="AA1060" s="87"/>
    </row>
    <row r="1061" ht="12" customHeight="1" spans="1:27">
      <c r="A1061" s="87"/>
      <c r="B1061" s="87"/>
      <c r="C1061" s="87"/>
      <c r="D1061" s="87"/>
      <c r="E1061" s="203"/>
      <c r="F1061" s="87"/>
      <c r="G1061" s="204"/>
      <c r="H1061" s="87"/>
      <c r="I1061" s="87"/>
      <c r="J1061" s="87"/>
      <c r="K1061" s="87"/>
      <c r="L1061" s="87"/>
      <c r="M1061" s="87"/>
      <c r="N1061" s="87"/>
      <c r="O1061" s="87"/>
      <c r="P1061" s="87"/>
      <c r="Q1061" s="87"/>
      <c r="R1061" s="155"/>
      <c r="S1061" s="156"/>
      <c r="T1061" s="157"/>
      <c r="U1061" s="173"/>
      <c r="V1061" s="157"/>
      <c r="W1061" s="157"/>
      <c r="X1061" s="87"/>
      <c r="Y1061" s="87"/>
      <c r="Z1061" s="87"/>
      <c r="AA1061" s="87"/>
    </row>
    <row r="1062" ht="12" customHeight="1" spans="1:27">
      <c r="A1062" s="87"/>
      <c r="B1062" s="87"/>
      <c r="C1062" s="87"/>
      <c r="D1062" s="87"/>
      <c r="E1062" s="203"/>
      <c r="F1062" s="87"/>
      <c r="G1062" s="204"/>
      <c r="H1062" s="87"/>
      <c r="I1062" s="87"/>
      <c r="J1062" s="87"/>
      <c r="K1062" s="87"/>
      <c r="L1062" s="87"/>
      <c r="M1062" s="87"/>
      <c r="N1062" s="87"/>
      <c r="O1062" s="87"/>
      <c r="P1062" s="87"/>
      <c r="Q1062" s="87"/>
      <c r="R1062" s="155"/>
      <c r="S1062" s="156"/>
      <c r="T1062" s="157"/>
      <c r="U1062" s="173"/>
      <c r="V1062" s="157"/>
      <c r="W1062" s="157"/>
      <c r="X1062" s="87"/>
      <c r="Y1062" s="87"/>
      <c r="Z1062" s="87"/>
      <c r="AA1062" s="87"/>
    </row>
    <row r="1063" ht="12" customHeight="1" spans="1:27">
      <c r="A1063" s="87"/>
      <c r="B1063" s="87"/>
      <c r="C1063" s="87"/>
      <c r="D1063" s="87"/>
      <c r="E1063" s="203"/>
      <c r="F1063" s="87"/>
      <c r="G1063" s="204"/>
      <c r="H1063" s="87"/>
      <c r="I1063" s="87"/>
      <c r="J1063" s="87"/>
      <c r="K1063" s="87"/>
      <c r="L1063" s="87"/>
      <c r="M1063" s="87"/>
      <c r="N1063" s="87"/>
      <c r="O1063" s="87"/>
      <c r="P1063" s="87"/>
      <c r="Q1063" s="87"/>
      <c r="R1063" s="155"/>
      <c r="S1063" s="156"/>
      <c r="T1063" s="157"/>
      <c r="U1063" s="173"/>
      <c r="V1063" s="157"/>
      <c r="W1063" s="157"/>
      <c r="X1063" s="87"/>
      <c r="Y1063" s="87"/>
      <c r="Z1063" s="87"/>
      <c r="AA1063" s="87"/>
    </row>
    <row r="1064" ht="12" customHeight="1" spans="1:27">
      <c r="A1064" s="87"/>
      <c r="B1064" s="87"/>
      <c r="C1064" s="87"/>
      <c r="D1064" s="87"/>
      <c r="E1064" s="203"/>
      <c r="F1064" s="87"/>
      <c r="G1064" s="204"/>
      <c r="H1064" s="87"/>
      <c r="I1064" s="87"/>
      <c r="J1064" s="87"/>
      <c r="K1064" s="87"/>
      <c r="L1064" s="87"/>
      <c r="M1064" s="87"/>
      <c r="N1064" s="87"/>
      <c r="O1064" s="87"/>
      <c r="P1064" s="87"/>
      <c r="Q1064" s="87"/>
      <c r="R1064" s="155"/>
      <c r="S1064" s="156"/>
      <c r="T1064" s="157"/>
      <c r="U1064" s="173"/>
      <c r="V1064" s="157"/>
      <c r="W1064" s="157"/>
      <c r="X1064" s="87"/>
      <c r="Y1064" s="87"/>
      <c r="Z1064" s="87"/>
      <c r="AA1064" s="87"/>
    </row>
    <row r="1065" ht="12" customHeight="1" spans="1:27">
      <c r="A1065" s="87"/>
      <c r="B1065" s="87"/>
      <c r="C1065" s="87"/>
      <c r="D1065" s="87"/>
      <c r="E1065" s="203"/>
      <c r="F1065" s="87"/>
      <c r="G1065" s="204"/>
      <c r="H1065" s="87"/>
      <c r="I1065" s="87"/>
      <c r="J1065" s="87"/>
      <c r="K1065" s="87"/>
      <c r="L1065" s="87"/>
      <c r="M1065" s="87"/>
      <c r="N1065" s="87"/>
      <c r="O1065" s="87"/>
      <c r="P1065" s="87"/>
      <c r="Q1065" s="87"/>
      <c r="R1065" s="155"/>
      <c r="S1065" s="156"/>
      <c r="T1065" s="157"/>
      <c r="U1065" s="173"/>
      <c r="V1065" s="157"/>
      <c r="W1065" s="157"/>
      <c r="X1065" s="87"/>
      <c r="Y1065" s="87"/>
      <c r="Z1065" s="87"/>
      <c r="AA1065" s="87"/>
    </row>
    <row r="1066" ht="12" customHeight="1" spans="1:27">
      <c r="A1066" s="87"/>
      <c r="B1066" s="87"/>
      <c r="C1066" s="87"/>
      <c r="D1066" s="87"/>
      <c r="E1066" s="203"/>
      <c r="F1066" s="87"/>
      <c r="G1066" s="204"/>
      <c r="H1066" s="87"/>
      <c r="I1066" s="87"/>
      <c r="J1066" s="87"/>
      <c r="K1066" s="87"/>
      <c r="L1066" s="87"/>
      <c r="M1066" s="87"/>
      <c r="N1066" s="87"/>
      <c r="O1066" s="87"/>
      <c r="P1066" s="87"/>
      <c r="Q1066" s="87"/>
      <c r="R1066" s="155"/>
      <c r="S1066" s="156"/>
      <c r="T1066" s="157"/>
      <c r="U1066" s="173"/>
      <c r="V1066" s="157"/>
      <c r="W1066" s="157"/>
      <c r="X1066" s="87"/>
      <c r="Y1066" s="87"/>
      <c r="Z1066" s="87"/>
      <c r="AA1066" s="87"/>
    </row>
    <row r="1067" ht="12" customHeight="1" spans="1:27">
      <c r="A1067" s="87"/>
      <c r="B1067" s="87"/>
      <c r="C1067" s="87"/>
      <c r="D1067" s="87"/>
      <c r="E1067" s="203"/>
      <c r="F1067" s="87"/>
      <c r="G1067" s="204"/>
      <c r="H1067" s="87"/>
      <c r="I1067" s="87"/>
      <c r="J1067" s="87"/>
      <c r="K1067" s="87"/>
      <c r="L1067" s="87"/>
      <c r="M1067" s="87"/>
      <c r="N1067" s="87"/>
      <c r="O1067" s="87"/>
      <c r="P1067" s="87"/>
      <c r="Q1067" s="87"/>
      <c r="R1067" s="155"/>
      <c r="S1067" s="156"/>
      <c r="T1067" s="157"/>
      <c r="U1067" s="173"/>
      <c r="V1067" s="157"/>
      <c r="W1067" s="157"/>
      <c r="X1067" s="87"/>
      <c r="Y1067" s="87"/>
      <c r="Z1067" s="87"/>
      <c r="AA1067" s="87"/>
    </row>
    <row r="1068" ht="12" customHeight="1" spans="1:27">
      <c r="A1068" s="87"/>
      <c r="B1068" s="87"/>
      <c r="C1068" s="87"/>
      <c r="D1068" s="87"/>
      <c r="E1068" s="203"/>
      <c r="F1068" s="87"/>
      <c r="G1068" s="204"/>
      <c r="H1068" s="87"/>
      <c r="I1068" s="87"/>
      <c r="J1068" s="87"/>
      <c r="K1068" s="87"/>
      <c r="L1068" s="87"/>
      <c r="M1068" s="87"/>
      <c r="N1068" s="87"/>
      <c r="O1068" s="87"/>
      <c r="P1068" s="87"/>
      <c r="Q1068" s="87"/>
      <c r="R1068" s="155"/>
      <c r="S1068" s="156"/>
      <c r="T1068" s="157"/>
      <c r="U1068" s="173"/>
      <c r="V1068" s="157"/>
      <c r="W1068" s="157"/>
      <c r="X1068" s="87"/>
      <c r="Y1068" s="87"/>
      <c r="Z1068" s="87"/>
      <c r="AA1068" s="87"/>
    </row>
    <row r="1069" ht="12" customHeight="1" spans="1:27">
      <c r="A1069" s="87"/>
      <c r="B1069" s="87"/>
      <c r="C1069" s="87"/>
      <c r="D1069" s="87"/>
      <c r="E1069" s="203"/>
      <c r="F1069" s="87"/>
      <c r="G1069" s="204"/>
      <c r="H1069" s="87"/>
      <c r="I1069" s="87"/>
      <c r="J1069" s="87"/>
      <c r="K1069" s="87"/>
      <c r="L1069" s="87"/>
      <c r="M1069" s="87"/>
      <c r="N1069" s="87"/>
      <c r="O1069" s="87"/>
      <c r="P1069" s="87"/>
      <c r="Q1069" s="87"/>
      <c r="R1069" s="155"/>
      <c r="S1069" s="156"/>
      <c r="T1069" s="157"/>
      <c r="U1069" s="173"/>
      <c r="V1069" s="157"/>
      <c r="W1069" s="157"/>
      <c r="X1069" s="87"/>
      <c r="Y1069" s="87"/>
      <c r="Z1069" s="87"/>
      <c r="AA1069" s="87"/>
    </row>
    <row r="1070" ht="12" customHeight="1" spans="1:27">
      <c r="A1070" s="87"/>
      <c r="B1070" s="87"/>
      <c r="C1070" s="87"/>
      <c r="D1070" s="87"/>
      <c r="E1070" s="203"/>
      <c r="F1070" s="87"/>
      <c r="G1070" s="204"/>
      <c r="H1070" s="87"/>
      <c r="I1070" s="87"/>
      <c r="J1070" s="87"/>
      <c r="K1070" s="87"/>
      <c r="L1070" s="87"/>
      <c r="M1070" s="87"/>
      <c r="N1070" s="87"/>
      <c r="O1070" s="87"/>
      <c r="P1070" s="87"/>
      <c r="Q1070" s="87"/>
      <c r="R1070" s="155"/>
      <c r="S1070" s="156"/>
      <c r="T1070" s="157"/>
      <c r="U1070" s="173"/>
      <c r="V1070" s="157"/>
      <c r="W1070" s="157"/>
      <c r="X1070" s="87"/>
      <c r="Y1070" s="87"/>
      <c r="Z1070" s="87"/>
      <c r="AA1070" s="87"/>
    </row>
    <row r="1071" ht="12" customHeight="1" spans="1:27">
      <c r="A1071" s="87"/>
      <c r="B1071" s="87"/>
      <c r="C1071" s="87"/>
      <c r="D1071" s="87"/>
      <c r="E1071" s="203"/>
      <c r="F1071" s="87"/>
      <c r="G1071" s="204"/>
      <c r="H1071" s="87"/>
      <c r="I1071" s="87"/>
      <c r="J1071" s="87"/>
      <c r="K1071" s="87"/>
      <c r="L1071" s="87"/>
      <c r="M1071" s="87"/>
      <c r="N1071" s="87"/>
      <c r="O1071" s="87"/>
      <c r="P1071" s="87"/>
      <c r="Q1071" s="87"/>
      <c r="R1071" s="155"/>
      <c r="S1071" s="156"/>
      <c r="T1071" s="157"/>
      <c r="U1071" s="173"/>
      <c r="V1071" s="157"/>
      <c r="W1071" s="157"/>
      <c r="X1071" s="87"/>
      <c r="Y1071" s="87"/>
      <c r="Z1071" s="87"/>
      <c r="AA1071" s="87"/>
    </row>
    <row r="1072" ht="12" customHeight="1" spans="1:27">
      <c r="A1072" s="87"/>
      <c r="B1072" s="87"/>
      <c r="C1072" s="87"/>
      <c r="D1072" s="87"/>
      <c r="E1072" s="203"/>
      <c r="F1072" s="87"/>
      <c r="G1072" s="204"/>
      <c r="H1072" s="87"/>
      <c r="I1072" s="87"/>
      <c r="J1072" s="87"/>
      <c r="K1072" s="87"/>
      <c r="L1072" s="87"/>
      <c r="M1072" s="87"/>
      <c r="N1072" s="87"/>
      <c r="O1072" s="87"/>
      <c r="P1072" s="87"/>
      <c r="Q1072" s="87"/>
      <c r="R1072" s="155"/>
      <c r="S1072" s="156"/>
      <c r="T1072" s="157"/>
      <c r="U1072" s="173"/>
      <c r="V1072" s="157"/>
      <c r="W1072" s="157"/>
      <c r="X1072" s="87"/>
      <c r="Y1072" s="87"/>
      <c r="Z1072" s="87"/>
      <c r="AA1072" s="87"/>
    </row>
    <row r="1073" ht="12" customHeight="1" spans="1:27">
      <c r="A1073" s="87"/>
      <c r="B1073" s="87"/>
      <c r="C1073" s="87"/>
      <c r="D1073" s="87"/>
      <c r="E1073" s="203"/>
      <c r="F1073" s="87"/>
      <c r="G1073" s="204"/>
      <c r="H1073" s="87"/>
      <c r="I1073" s="87"/>
      <c r="J1073" s="87"/>
      <c r="K1073" s="87"/>
      <c r="L1073" s="87"/>
      <c r="M1073" s="87"/>
      <c r="N1073" s="87"/>
      <c r="O1073" s="87"/>
      <c r="P1073" s="87"/>
      <c r="Q1073" s="87"/>
      <c r="R1073" s="155"/>
      <c r="S1073" s="156"/>
      <c r="T1073" s="157"/>
      <c r="U1073" s="173"/>
      <c r="V1073" s="157"/>
      <c r="W1073" s="157"/>
      <c r="X1073" s="87"/>
      <c r="Y1073" s="87"/>
      <c r="Z1073" s="87"/>
      <c r="AA1073" s="87"/>
    </row>
    <row r="1074" ht="12" customHeight="1" spans="1:27">
      <c r="A1074" s="87"/>
      <c r="B1074" s="87"/>
      <c r="C1074" s="87"/>
      <c r="D1074" s="87"/>
      <c r="E1074" s="203"/>
      <c r="F1074" s="87"/>
      <c r="G1074" s="204"/>
      <c r="H1074" s="87"/>
      <c r="I1074" s="87"/>
      <c r="J1074" s="87"/>
      <c r="K1074" s="87"/>
      <c r="L1074" s="87"/>
      <c r="M1074" s="87"/>
      <c r="N1074" s="87"/>
      <c r="O1074" s="87"/>
      <c r="P1074" s="87"/>
      <c r="Q1074" s="87"/>
      <c r="R1074" s="155"/>
      <c r="S1074" s="156"/>
      <c r="T1074" s="157"/>
      <c r="U1074" s="173"/>
      <c r="V1074" s="157"/>
      <c r="W1074" s="157"/>
      <c r="X1074" s="87"/>
      <c r="Y1074" s="87"/>
      <c r="Z1074" s="87"/>
      <c r="AA1074" s="87"/>
    </row>
    <row r="1075" ht="12" customHeight="1" spans="1:27">
      <c r="A1075" s="87"/>
      <c r="B1075" s="87"/>
      <c r="C1075" s="87"/>
      <c r="D1075" s="87"/>
      <c r="E1075" s="203"/>
      <c r="F1075" s="87"/>
      <c r="G1075" s="204"/>
      <c r="H1075" s="87"/>
      <c r="I1075" s="87"/>
      <c r="J1075" s="87"/>
      <c r="K1075" s="87"/>
      <c r="L1075" s="87"/>
      <c r="M1075" s="87"/>
      <c r="N1075" s="87"/>
      <c r="O1075" s="87"/>
      <c r="P1075" s="87"/>
      <c r="Q1075" s="87"/>
      <c r="R1075" s="155"/>
      <c r="S1075" s="156"/>
      <c r="T1075" s="157"/>
      <c r="U1075" s="173"/>
      <c r="V1075" s="157"/>
      <c r="W1075" s="157"/>
      <c r="X1075" s="87"/>
      <c r="Y1075" s="87"/>
      <c r="Z1075" s="87"/>
      <c r="AA1075" s="87"/>
    </row>
    <row r="1076" ht="12" customHeight="1" spans="1:27">
      <c r="A1076" s="87"/>
      <c r="B1076" s="87"/>
      <c r="C1076" s="87"/>
      <c r="D1076" s="87"/>
      <c r="E1076" s="203"/>
      <c r="F1076" s="87"/>
      <c r="G1076" s="204"/>
      <c r="H1076" s="87"/>
      <c r="I1076" s="87"/>
      <c r="J1076" s="87"/>
      <c r="K1076" s="87"/>
      <c r="L1076" s="87"/>
      <c r="M1076" s="87"/>
      <c r="N1076" s="87"/>
      <c r="O1076" s="87"/>
      <c r="P1076" s="87"/>
      <c r="Q1076" s="87"/>
      <c r="R1076" s="155"/>
      <c r="S1076" s="156"/>
      <c r="T1076" s="157"/>
      <c r="U1076" s="173"/>
      <c r="V1076" s="157"/>
      <c r="W1076" s="157"/>
      <c r="X1076" s="87"/>
      <c r="Y1076" s="87"/>
      <c r="Z1076" s="87"/>
      <c r="AA1076" s="87"/>
    </row>
    <row r="1077" ht="12" customHeight="1" spans="1:27">
      <c r="A1077" s="87"/>
      <c r="B1077" s="87"/>
      <c r="C1077" s="87"/>
      <c r="D1077" s="87"/>
      <c r="E1077" s="203"/>
      <c r="F1077" s="87"/>
      <c r="G1077" s="204"/>
      <c r="H1077" s="87"/>
      <c r="I1077" s="87"/>
      <c r="J1077" s="87"/>
      <c r="K1077" s="87"/>
      <c r="L1077" s="87"/>
      <c r="M1077" s="87"/>
      <c r="N1077" s="87"/>
      <c r="O1077" s="87"/>
      <c r="P1077" s="87"/>
      <c r="Q1077" s="87"/>
      <c r="R1077" s="155"/>
      <c r="S1077" s="156"/>
      <c r="T1077" s="157"/>
      <c r="U1077" s="173"/>
      <c r="V1077" s="157"/>
      <c r="W1077" s="157"/>
      <c r="X1077" s="87"/>
      <c r="Y1077" s="87"/>
      <c r="Z1077" s="87"/>
      <c r="AA1077" s="87"/>
    </row>
    <row r="1078" ht="12" customHeight="1" spans="1:27">
      <c r="A1078" s="87"/>
      <c r="B1078" s="87"/>
      <c r="C1078" s="87"/>
      <c r="D1078" s="87"/>
      <c r="E1078" s="203"/>
      <c r="F1078" s="87"/>
      <c r="G1078" s="204"/>
      <c r="H1078" s="87"/>
      <c r="I1078" s="87"/>
      <c r="J1078" s="87"/>
      <c r="K1078" s="87"/>
      <c r="L1078" s="87"/>
      <c r="M1078" s="87"/>
      <c r="N1078" s="87"/>
      <c r="O1078" s="87"/>
      <c r="P1078" s="87"/>
      <c r="Q1078" s="87"/>
      <c r="R1078" s="155"/>
      <c r="S1078" s="156"/>
      <c r="T1078" s="157"/>
      <c r="U1078" s="173"/>
      <c r="V1078" s="157"/>
      <c r="W1078" s="157"/>
      <c r="X1078" s="87"/>
      <c r="Y1078" s="87"/>
      <c r="Z1078" s="87"/>
      <c r="AA1078" s="87"/>
    </row>
    <row r="1079" ht="12" customHeight="1" spans="1:27">
      <c r="A1079" s="87"/>
      <c r="B1079" s="87"/>
      <c r="C1079" s="87"/>
      <c r="D1079" s="87"/>
      <c r="E1079" s="203"/>
      <c r="F1079" s="87"/>
      <c r="G1079" s="204"/>
      <c r="H1079" s="87"/>
      <c r="I1079" s="87"/>
      <c r="J1079" s="87"/>
      <c r="K1079" s="87"/>
      <c r="L1079" s="87"/>
      <c r="M1079" s="87"/>
      <c r="N1079" s="87"/>
      <c r="O1079" s="87"/>
      <c r="P1079" s="87"/>
      <c r="Q1079" s="87"/>
      <c r="R1079" s="155"/>
      <c r="S1079" s="156"/>
      <c r="T1079" s="157"/>
      <c r="U1079" s="173"/>
      <c r="V1079" s="157"/>
      <c r="W1079" s="157"/>
      <c r="X1079" s="87"/>
      <c r="Y1079" s="87"/>
      <c r="Z1079" s="87"/>
      <c r="AA1079" s="87"/>
    </row>
    <row r="1080" ht="12" customHeight="1" spans="1:27">
      <c r="A1080" s="87"/>
      <c r="B1080" s="87"/>
      <c r="C1080" s="87"/>
      <c r="D1080" s="87"/>
      <c r="E1080" s="203"/>
      <c r="F1080" s="87"/>
      <c r="G1080" s="204"/>
      <c r="H1080" s="87"/>
      <c r="I1080" s="87"/>
      <c r="J1080" s="87"/>
      <c r="K1080" s="87"/>
      <c r="L1080" s="87"/>
      <c r="M1080" s="87"/>
      <c r="N1080" s="87"/>
      <c r="O1080" s="87"/>
      <c r="P1080" s="87"/>
      <c r="Q1080" s="87"/>
      <c r="R1080" s="155"/>
      <c r="S1080" s="156"/>
      <c r="T1080" s="157"/>
      <c r="U1080" s="173"/>
      <c r="V1080" s="157"/>
      <c r="W1080" s="157"/>
      <c r="X1080" s="87"/>
      <c r="Y1080" s="87"/>
      <c r="Z1080" s="87"/>
      <c r="AA1080" s="87"/>
    </row>
    <row r="1081" ht="12" customHeight="1" spans="1:27">
      <c r="A1081" s="87"/>
      <c r="B1081" s="87"/>
      <c r="C1081" s="87"/>
      <c r="D1081" s="87"/>
      <c r="E1081" s="203"/>
      <c r="F1081" s="87"/>
      <c r="G1081" s="204"/>
      <c r="H1081" s="87"/>
      <c r="I1081" s="87"/>
      <c r="J1081" s="87"/>
      <c r="K1081" s="87"/>
      <c r="L1081" s="87"/>
      <c r="M1081" s="87"/>
      <c r="N1081" s="87"/>
      <c r="O1081" s="87"/>
      <c r="P1081" s="87"/>
      <c r="Q1081" s="87"/>
      <c r="R1081" s="155"/>
      <c r="S1081" s="156"/>
      <c r="T1081" s="157"/>
      <c r="U1081" s="173"/>
      <c r="V1081" s="157"/>
      <c r="W1081" s="157"/>
      <c r="X1081" s="87"/>
      <c r="Y1081" s="87"/>
      <c r="Z1081" s="87"/>
      <c r="AA1081" s="87"/>
    </row>
    <row r="1082" ht="12" customHeight="1" spans="1:27">
      <c r="A1082" s="87"/>
      <c r="B1082" s="87"/>
      <c r="C1082" s="87"/>
      <c r="D1082" s="87"/>
      <c r="E1082" s="203"/>
      <c r="F1082" s="87"/>
      <c r="G1082" s="204"/>
      <c r="H1082" s="87"/>
      <c r="I1082" s="87"/>
      <c r="J1082" s="87"/>
      <c r="K1082" s="87"/>
      <c r="L1082" s="87"/>
      <c r="M1082" s="87"/>
      <c r="N1082" s="87"/>
      <c r="O1082" s="87"/>
      <c r="P1082" s="87"/>
      <c r="Q1082" s="87"/>
      <c r="R1082" s="155"/>
      <c r="S1082" s="156"/>
      <c r="T1082" s="157"/>
      <c r="U1082" s="173"/>
      <c r="V1082" s="157"/>
      <c r="W1082" s="157"/>
      <c r="X1082" s="87"/>
      <c r="Y1082" s="87"/>
      <c r="Z1082" s="87"/>
      <c r="AA1082" s="87"/>
    </row>
    <row r="1083" ht="12" customHeight="1" spans="1:27">
      <c r="A1083" s="87"/>
      <c r="B1083" s="87"/>
      <c r="C1083" s="87"/>
      <c r="D1083" s="87"/>
      <c r="E1083" s="203"/>
      <c r="F1083" s="87"/>
      <c r="G1083" s="204"/>
      <c r="H1083" s="87"/>
      <c r="I1083" s="87"/>
      <c r="J1083" s="87"/>
      <c r="K1083" s="87"/>
      <c r="L1083" s="87"/>
      <c r="M1083" s="87"/>
      <c r="N1083" s="87"/>
      <c r="O1083" s="87"/>
      <c r="P1083" s="87"/>
      <c r="Q1083" s="87"/>
      <c r="R1083" s="155"/>
      <c r="S1083" s="156"/>
      <c r="T1083" s="157"/>
      <c r="U1083" s="173"/>
      <c r="V1083" s="157"/>
      <c r="W1083" s="157"/>
      <c r="X1083" s="87"/>
      <c r="Y1083" s="87"/>
      <c r="Z1083" s="87"/>
      <c r="AA1083" s="87"/>
    </row>
    <row r="1084" ht="12" customHeight="1" spans="1:27">
      <c r="A1084" s="87"/>
      <c r="B1084" s="87"/>
      <c r="C1084" s="87"/>
      <c r="D1084" s="87"/>
      <c r="E1084" s="203"/>
      <c r="F1084" s="87"/>
      <c r="G1084" s="204"/>
      <c r="H1084" s="87"/>
      <c r="I1084" s="87"/>
      <c r="J1084" s="87"/>
      <c r="K1084" s="87"/>
      <c r="L1084" s="87"/>
      <c r="M1084" s="87"/>
      <c r="N1084" s="87"/>
      <c r="O1084" s="87"/>
      <c r="P1084" s="87"/>
      <c r="Q1084" s="87"/>
      <c r="R1084" s="155"/>
      <c r="S1084" s="156"/>
      <c r="T1084" s="157"/>
      <c r="U1084" s="173"/>
      <c r="V1084" s="157"/>
      <c r="W1084" s="157"/>
      <c r="X1084" s="87"/>
      <c r="Y1084" s="87"/>
      <c r="Z1084" s="87"/>
      <c r="AA1084" s="87"/>
    </row>
    <row r="1085" ht="12" customHeight="1" spans="1:27">
      <c r="A1085" s="87"/>
      <c r="B1085" s="87"/>
      <c r="C1085" s="87"/>
      <c r="D1085" s="87"/>
      <c r="E1085" s="203"/>
      <c r="F1085" s="87"/>
      <c r="G1085" s="204"/>
      <c r="H1085" s="87"/>
      <c r="I1085" s="87"/>
      <c r="J1085" s="87"/>
      <c r="K1085" s="87"/>
      <c r="L1085" s="87"/>
      <c r="M1085" s="87"/>
      <c r="N1085" s="87"/>
      <c r="O1085" s="87"/>
      <c r="P1085" s="87"/>
      <c r="Q1085" s="87"/>
      <c r="R1085" s="155"/>
      <c r="S1085" s="156"/>
      <c r="T1085" s="157"/>
      <c r="U1085" s="173"/>
      <c r="V1085" s="157"/>
      <c r="W1085" s="157"/>
      <c r="X1085" s="87"/>
      <c r="Y1085" s="87"/>
      <c r="Z1085" s="87"/>
      <c r="AA1085" s="87"/>
    </row>
    <row r="1086" ht="12" customHeight="1" spans="1:27">
      <c r="A1086" s="87"/>
      <c r="B1086" s="87"/>
      <c r="C1086" s="87"/>
      <c r="D1086" s="87"/>
      <c r="E1086" s="203"/>
      <c r="F1086" s="87"/>
      <c r="G1086" s="204"/>
      <c r="H1086" s="87"/>
      <c r="I1086" s="87"/>
      <c r="J1086" s="87"/>
      <c r="K1086" s="87"/>
      <c r="L1086" s="87"/>
      <c r="M1086" s="87"/>
      <c r="N1086" s="87"/>
      <c r="O1086" s="87"/>
      <c r="P1086" s="87"/>
      <c r="Q1086" s="87"/>
      <c r="R1086" s="155"/>
      <c r="S1086" s="156"/>
      <c r="T1086" s="157"/>
      <c r="U1086" s="173"/>
      <c r="V1086" s="157"/>
      <c r="W1086" s="157"/>
      <c r="X1086" s="87"/>
      <c r="Y1086" s="87"/>
      <c r="Z1086" s="87"/>
      <c r="AA1086" s="87"/>
    </row>
    <row r="1087" ht="12" customHeight="1" spans="1:27">
      <c r="A1087" s="87"/>
      <c r="B1087" s="87"/>
      <c r="C1087" s="87"/>
      <c r="D1087" s="87"/>
      <c r="E1087" s="203"/>
      <c r="F1087" s="87"/>
      <c r="G1087" s="204"/>
      <c r="H1087" s="87"/>
      <c r="I1087" s="87"/>
      <c r="J1087" s="87"/>
      <c r="K1087" s="87"/>
      <c r="L1087" s="87"/>
      <c r="M1087" s="87"/>
      <c r="N1087" s="87"/>
      <c r="O1087" s="87"/>
      <c r="P1087" s="87"/>
      <c r="Q1087" s="87"/>
      <c r="R1087" s="155"/>
      <c r="S1087" s="156"/>
      <c r="T1087" s="157"/>
      <c r="U1087" s="173"/>
      <c r="V1087" s="157"/>
      <c r="W1087" s="157"/>
      <c r="X1087" s="87"/>
      <c r="Y1087" s="87"/>
      <c r="Z1087" s="87"/>
      <c r="AA1087" s="87"/>
    </row>
    <row r="1088" ht="12" customHeight="1" spans="1:27">
      <c r="A1088" s="87"/>
      <c r="B1088" s="87"/>
      <c r="C1088" s="87"/>
      <c r="D1088" s="87"/>
      <c r="E1088" s="203"/>
      <c r="F1088" s="87"/>
      <c r="G1088" s="204"/>
      <c r="H1088" s="87"/>
      <c r="I1088" s="87"/>
      <c r="J1088" s="87"/>
      <c r="K1088" s="87"/>
      <c r="L1088" s="87"/>
      <c r="M1088" s="87"/>
      <c r="N1088" s="87"/>
      <c r="O1088" s="87"/>
      <c r="P1088" s="87"/>
      <c r="Q1088" s="87"/>
      <c r="R1088" s="155"/>
      <c r="S1088" s="156"/>
      <c r="T1088" s="157"/>
      <c r="U1088" s="173"/>
      <c r="V1088" s="157"/>
      <c r="W1088" s="157"/>
      <c r="X1088" s="87"/>
      <c r="Y1088" s="87"/>
      <c r="Z1088" s="87"/>
      <c r="AA1088" s="87"/>
    </row>
    <row r="1089" ht="12" customHeight="1" spans="1:27">
      <c r="A1089" s="87"/>
      <c r="B1089" s="87"/>
      <c r="C1089" s="87"/>
      <c r="D1089" s="87"/>
      <c r="E1089" s="203"/>
      <c r="F1089" s="87"/>
      <c r="G1089" s="204"/>
      <c r="H1089" s="87"/>
      <c r="I1089" s="87"/>
      <c r="J1089" s="87"/>
      <c r="K1089" s="87"/>
      <c r="L1089" s="87"/>
      <c r="M1089" s="87"/>
      <c r="N1089" s="87"/>
      <c r="O1089" s="87"/>
      <c r="P1089" s="87"/>
      <c r="Q1089" s="87"/>
      <c r="R1089" s="155"/>
      <c r="S1089" s="156"/>
      <c r="T1089" s="157"/>
      <c r="U1089" s="173"/>
      <c r="V1089" s="157"/>
      <c r="W1089" s="157"/>
      <c r="X1089" s="87"/>
      <c r="Y1089" s="87"/>
      <c r="Z1089" s="87"/>
      <c r="AA1089" s="87"/>
    </row>
    <row r="1090" ht="12" customHeight="1" spans="1:27">
      <c r="A1090" s="87"/>
      <c r="B1090" s="87"/>
      <c r="C1090" s="87"/>
      <c r="D1090" s="87"/>
      <c r="E1090" s="203"/>
      <c r="F1090" s="87"/>
      <c r="G1090" s="204"/>
      <c r="H1090" s="87"/>
      <c r="I1090" s="87"/>
      <c r="J1090" s="87"/>
      <c r="K1090" s="87"/>
      <c r="L1090" s="87"/>
      <c r="M1090" s="87"/>
      <c r="N1090" s="87"/>
      <c r="O1090" s="87"/>
      <c r="P1090" s="87"/>
      <c r="Q1090" s="87"/>
      <c r="R1090" s="155"/>
      <c r="S1090" s="156"/>
      <c r="T1090" s="157"/>
      <c r="U1090" s="173"/>
      <c r="V1090" s="157"/>
      <c r="W1090" s="157"/>
      <c r="X1090" s="87"/>
      <c r="Y1090" s="87"/>
      <c r="Z1090" s="87"/>
      <c r="AA1090" s="87"/>
    </row>
    <row r="1091" ht="12" customHeight="1" spans="1:27">
      <c r="A1091" s="87"/>
      <c r="B1091" s="87"/>
      <c r="C1091" s="87"/>
      <c r="D1091" s="87"/>
      <c r="E1091" s="203"/>
      <c r="F1091" s="87"/>
      <c r="G1091" s="204"/>
      <c r="H1091" s="87"/>
      <c r="I1091" s="87"/>
      <c r="J1091" s="87"/>
      <c r="K1091" s="87"/>
      <c r="L1091" s="87"/>
      <c r="M1091" s="87"/>
      <c r="N1091" s="87"/>
      <c r="O1091" s="87"/>
      <c r="P1091" s="87"/>
      <c r="Q1091" s="87"/>
      <c r="R1091" s="155"/>
      <c r="S1091" s="156"/>
      <c r="T1091" s="157"/>
      <c r="U1091" s="173"/>
      <c r="V1091" s="157"/>
      <c r="W1091" s="157"/>
      <c r="X1091" s="87"/>
      <c r="Y1091" s="87"/>
      <c r="Z1091" s="87"/>
      <c r="AA1091" s="87"/>
    </row>
    <row r="1092" ht="12" customHeight="1" spans="1:27">
      <c r="A1092" s="87"/>
      <c r="B1092" s="87"/>
      <c r="C1092" s="87"/>
      <c r="D1092" s="87"/>
      <c r="E1092" s="203"/>
      <c r="F1092" s="87"/>
      <c r="G1092" s="204"/>
      <c r="H1092" s="87"/>
      <c r="I1092" s="87"/>
      <c r="J1092" s="87"/>
      <c r="K1092" s="87"/>
      <c r="L1092" s="87"/>
      <c r="M1092" s="87"/>
      <c r="N1092" s="87"/>
      <c r="O1092" s="87"/>
      <c r="P1092" s="87"/>
      <c r="Q1092" s="87"/>
      <c r="R1092" s="155"/>
      <c r="S1092" s="156"/>
      <c r="T1092" s="157"/>
      <c r="U1092" s="173"/>
      <c r="V1092" s="157"/>
      <c r="W1092" s="157"/>
      <c r="X1092" s="87"/>
      <c r="Y1092" s="87"/>
      <c r="Z1092" s="87"/>
      <c r="AA1092" s="87"/>
    </row>
    <row r="1093" ht="12" customHeight="1" spans="1:27">
      <c r="A1093" s="87"/>
      <c r="B1093" s="87"/>
      <c r="C1093" s="87"/>
      <c r="D1093" s="87"/>
      <c r="E1093" s="203"/>
      <c r="F1093" s="87"/>
      <c r="G1093" s="204"/>
      <c r="H1093" s="87"/>
      <c r="I1093" s="87"/>
      <c r="J1093" s="87"/>
      <c r="K1093" s="87"/>
      <c r="L1093" s="87"/>
      <c r="M1093" s="87"/>
      <c r="N1093" s="87"/>
      <c r="O1093" s="87"/>
      <c r="P1093" s="87"/>
      <c r="Q1093" s="87"/>
      <c r="R1093" s="155"/>
      <c r="S1093" s="156"/>
      <c r="T1093" s="157"/>
      <c r="U1093" s="173"/>
      <c r="V1093" s="157"/>
      <c r="W1093" s="157"/>
      <c r="X1093" s="87"/>
      <c r="Y1093" s="87"/>
      <c r="Z1093" s="87"/>
      <c r="AA1093" s="87"/>
    </row>
    <row r="1094" ht="12" customHeight="1" spans="1:27">
      <c r="A1094" s="87"/>
      <c r="B1094" s="87"/>
      <c r="C1094" s="87"/>
      <c r="D1094" s="87"/>
      <c r="E1094" s="203"/>
      <c r="F1094" s="87"/>
      <c r="G1094" s="204"/>
      <c r="H1094" s="87"/>
      <c r="I1094" s="87"/>
      <c r="J1094" s="87"/>
      <c r="K1094" s="87"/>
      <c r="L1094" s="87"/>
      <c r="M1094" s="87"/>
      <c r="N1094" s="87"/>
      <c r="O1094" s="87"/>
      <c r="P1094" s="87"/>
      <c r="Q1094" s="87"/>
      <c r="R1094" s="155"/>
      <c r="S1094" s="156"/>
      <c r="T1094" s="157"/>
      <c r="U1094" s="173"/>
      <c r="V1094" s="157"/>
      <c r="W1094" s="157"/>
      <c r="X1094" s="87"/>
      <c r="Y1094" s="87"/>
      <c r="Z1094" s="87"/>
      <c r="AA1094" s="87"/>
    </row>
    <row r="1095" ht="12" customHeight="1" spans="1:27">
      <c r="A1095" s="87"/>
      <c r="B1095" s="87"/>
      <c r="C1095" s="87"/>
      <c r="D1095" s="87"/>
      <c r="E1095" s="203"/>
      <c r="F1095" s="87"/>
      <c r="G1095" s="204"/>
      <c r="H1095" s="87"/>
      <c r="I1095" s="87"/>
      <c r="J1095" s="87"/>
      <c r="K1095" s="87"/>
      <c r="L1095" s="87"/>
      <c r="M1095" s="87"/>
      <c r="N1095" s="87"/>
      <c r="O1095" s="87"/>
      <c r="P1095" s="87"/>
      <c r="Q1095" s="87"/>
      <c r="R1095" s="155"/>
      <c r="S1095" s="156"/>
      <c r="T1095" s="157"/>
      <c r="U1095" s="173"/>
      <c r="V1095" s="157"/>
      <c r="W1095" s="157"/>
      <c r="X1095" s="87"/>
      <c r="Y1095" s="87"/>
      <c r="Z1095" s="87"/>
      <c r="AA1095" s="87"/>
    </row>
    <row r="1096" ht="12" customHeight="1" spans="1:27">
      <c r="A1096" s="87"/>
      <c r="B1096" s="87"/>
      <c r="C1096" s="87"/>
      <c r="D1096" s="87"/>
      <c r="E1096" s="203"/>
      <c r="F1096" s="87"/>
      <c r="G1096" s="204"/>
      <c r="H1096" s="87"/>
      <c r="I1096" s="87"/>
      <c r="J1096" s="87"/>
      <c r="K1096" s="87"/>
      <c r="L1096" s="87"/>
      <c r="M1096" s="87"/>
      <c r="N1096" s="87"/>
      <c r="O1096" s="87"/>
      <c r="P1096" s="87"/>
      <c r="Q1096" s="87"/>
      <c r="R1096" s="155"/>
      <c r="S1096" s="156"/>
      <c r="T1096" s="157"/>
      <c r="U1096" s="173"/>
      <c r="V1096" s="157"/>
      <c r="W1096" s="157"/>
      <c r="X1096" s="87"/>
      <c r="Y1096" s="87"/>
      <c r="Z1096" s="87"/>
      <c r="AA1096" s="87"/>
    </row>
    <row r="1097" ht="12" customHeight="1" spans="1:27">
      <c r="A1097" s="87"/>
      <c r="B1097" s="87"/>
      <c r="C1097" s="87"/>
      <c r="D1097" s="87"/>
      <c r="E1097" s="203"/>
      <c r="F1097" s="87"/>
      <c r="G1097" s="204"/>
      <c r="H1097" s="87"/>
      <c r="I1097" s="87"/>
      <c r="J1097" s="87"/>
      <c r="K1097" s="87"/>
      <c r="L1097" s="87"/>
      <c r="M1097" s="87"/>
      <c r="N1097" s="87"/>
      <c r="O1097" s="87"/>
      <c r="P1097" s="87"/>
      <c r="Q1097" s="87"/>
      <c r="R1097" s="155"/>
      <c r="S1097" s="156"/>
      <c r="T1097" s="157"/>
      <c r="U1097" s="173"/>
      <c r="V1097" s="157"/>
      <c r="W1097" s="157"/>
      <c r="X1097" s="87"/>
      <c r="Y1097" s="87"/>
      <c r="Z1097" s="87"/>
      <c r="AA1097" s="87"/>
    </row>
    <row r="1098" ht="12" customHeight="1" spans="1:27">
      <c r="A1098" s="87"/>
      <c r="B1098" s="87"/>
      <c r="C1098" s="87"/>
      <c r="D1098" s="87"/>
      <c r="E1098" s="203"/>
      <c r="F1098" s="87"/>
      <c r="G1098" s="204"/>
      <c r="H1098" s="87"/>
      <c r="I1098" s="87"/>
      <c r="J1098" s="87"/>
      <c r="K1098" s="87"/>
      <c r="L1098" s="87"/>
      <c r="M1098" s="87"/>
      <c r="N1098" s="87"/>
      <c r="O1098" s="87"/>
      <c r="P1098" s="87"/>
      <c r="Q1098" s="87"/>
      <c r="R1098" s="155"/>
      <c r="S1098" s="156"/>
      <c r="T1098" s="157"/>
      <c r="U1098" s="173"/>
      <c r="V1098" s="157"/>
      <c r="W1098" s="157"/>
      <c r="X1098" s="87"/>
      <c r="Y1098" s="87"/>
      <c r="Z1098" s="87"/>
      <c r="AA1098" s="87"/>
    </row>
    <row r="1099" ht="12" customHeight="1" spans="1:27">
      <c r="A1099" s="87"/>
      <c r="B1099" s="87"/>
      <c r="C1099" s="87"/>
      <c r="D1099" s="87"/>
      <c r="E1099" s="203"/>
      <c r="F1099" s="87"/>
      <c r="G1099" s="204"/>
      <c r="H1099" s="87"/>
      <c r="I1099" s="87"/>
      <c r="J1099" s="87"/>
      <c r="K1099" s="87"/>
      <c r="L1099" s="87"/>
      <c r="M1099" s="87"/>
      <c r="N1099" s="87"/>
      <c r="O1099" s="87"/>
      <c r="P1099" s="87"/>
      <c r="Q1099" s="87"/>
      <c r="R1099" s="155"/>
      <c r="S1099" s="156"/>
      <c r="T1099" s="157"/>
      <c r="U1099" s="173"/>
      <c r="V1099" s="157"/>
      <c r="W1099" s="157"/>
      <c r="X1099" s="87"/>
      <c r="Y1099" s="87"/>
      <c r="Z1099" s="87"/>
      <c r="AA1099" s="87"/>
    </row>
    <row r="1100" ht="12" customHeight="1" spans="1:27">
      <c r="A1100" s="87"/>
      <c r="B1100" s="87"/>
      <c r="C1100" s="87"/>
      <c r="D1100" s="87"/>
      <c r="E1100" s="203"/>
      <c r="F1100" s="87"/>
      <c r="G1100" s="204"/>
      <c r="H1100" s="87"/>
      <c r="I1100" s="87"/>
      <c r="J1100" s="87"/>
      <c r="K1100" s="87"/>
      <c r="L1100" s="87"/>
      <c r="M1100" s="87"/>
      <c r="N1100" s="87"/>
      <c r="O1100" s="87"/>
      <c r="P1100" s="87"/>
      <c r="Q1100" s="87"/>
      <c r="R1100" s="155"/>
      <c r="S1100" s="156"/>
      <c r="T1100" s="157"/>
      <c r="U1100" s="173"/>
      <c r="V1100" s="157"/>
      <c r="W1100" s="157"/>
      <c r="X1100" s="87"/>
      <c r="Y1100" s="87"/>
      <c r="Z1100" s="87"/>
      <c r="AA1100" s="87"/>
    </row>
    <row r="1101" ht="12" customHeight="1" spans="1:27">
      <c r="A1101" s="87"/>
      <c r="B1101" s="87"/>
      <c r="C1101" s="87"/>
      <c r="D1101" s="87"/>
      <c r="E1101" s="203"/>
      <c r="F1101" s="87"/>
      <c r="G1101" s="204"/>
      <c r="H1101" s="87"/>
      <c r="I1101" s="87"/>
      <c r="J1101" s="87"/>
      <c r="K1101" s="87"/>
      <c r="L1101" s="87"/>
      <c r="M1101" s="87"/>
      <c r="N1101" s="87"/>
      <c r="O1101" s="87"/>
      <c r="P1101" s="87"/>
      <c r="Q1101" s="87"/>
      <c r="R1101" s="155"/>
      <c r="S1101" s="156"/>
      <c r="T1101" s="157"/>
      <c r="U1101" s="173"/>
      <c r="V1101" s="157"/>
      <c r="W1101" s="157"/>
      <c r="X1101" s="87"/>
      <c r="Y1101" s="87"/>
      <c r="Z1101" s="87"/>
      <c r="AA1101" s="87"/>
    </row>
    <row r="1102" ht="12" customHeight="1" spans="1:27">
      <c r="A1102" s="87"/>
      <c r="B1102" s="87"/>
      <c r="C1102" s="87"/>
      <c r="D1102" s="87"/>
      <c r="E1102" s="203"/>
      <c r="F1102" s="87"/>
      <c r="G1102" s="204"/>
      <c r="H1102" s="87"/>
      <c r="I1102" s="87"/>
      <c r="J1102" s="87"/>
      <c r="K1102" s="87"/>
      <c r="L1102" s="87"/>
      <c r="M1102" s="87"/>
      <c r="N1102" s="87"/>
      <c r="O1102" s="87"/>
      <c r="P1102" s="87"/>
      <c r="Q1102" s="87"/>
      <c r="R1102" s="155"/>
      <c r="S1102" s="156"/>
      <c r="T1102" s="157"/>
      <c r="U1102" s="173"/>
      <c r="V1102" s="157"/>
      <c r="W1102" s="157"/>
      <c r="X1102" s="87"/>
      <c r="Y1102" s="87"/>
      <c r="Z1102" s="87"/>
      <c r="AA1102" s="87"/>
    </row>
    <row r="1103" ht="12" customHeight="1" spans="1:27">
      <c r="A1103" s="87"/>
      <c r="B1103" s="87"/>
      <c r="C1103" s="87"/>
      <c r="D1103" s="87"/>
      <c r="E1103" s="203"/>
      <c r="F1103" s="87"/>
      <c r="G1103" s="204"/>
      <c r="H1103" s="87"/>
      <c r="I1103" s="87"/>
      <c r="J1103" s="87"/>
      <c r="K1103" s="87"/>
      <c r="L1103" s="87"/>
      <c r="M1103" s="87"/>
      <c r="N1103" s="87"/>
      <c r="O1103" s="87"/>
      <c r="P1103" s="87"/>
      <c r="Q1103" s="87"/>
      <c r="R1103" s="155"/>
      <c r="S1103" s="156"/>
      <c r="T1103" s="157"/>
      <c r="U1103" s="173"/>
      <c r="V1103" s="157"/>
      <c r="W1103" s="157"/>
      <c r="X1103" s="87"/>
      <c r="Y1103" s="87"/>
      <c r="Z1103" s="87"/>
      <c r="AA1103" s="87"/>
    </row>
    <row r="1104" ht="12" customHeight="1" spans="1:27">
      <c r="A1104" s="87"/>
      <c r="B1104" s="87"/>
      <c r="C1104" s="87"/>
      <c r="D1104" s="87"/>
      <c r="E1104" s="203"/>
      <c r="F1104" s="87"/>
      <c r="G1104" s="204"/>
      <c r="H1104" s="87"/>
      <c r="I1104" s="87"/>
      <c r="J1104" s="87"/>
      <c r="K1104" s="87"/>
      <c r="L1104" s="87"/>
      <c r="M1104" s="87"/>
      <c r="N1104" s="87"/>
      <c r="O1104" s="87"/>
      <c r="P1104" s="87"/>
      <c r="Q1104" s="87"/>
      <c r="R1104" s="155"/>
      <c r="S1104" s="156"/>
      <c r="T1104" s="157"/>
      <c r="U1104" s="173"/>
      <c r="V1104" s="157"/>
      <c r="W1104" s="157"/>
      <c r="X1104" s="87"/>
      <c r="Y1104" s="87"/>
      <c r="Z1104" s="87"/>
      <c r="AA1104" s="87"/>
    </row>
    <row r="1105" ht="12" customHeight="1" spans="1:27">
      <c r="A1105" s="87"/>
      <c r="B1105" s="87"/>
      <c r="C1105" s="87"/>
      <c r="D1105" s="87"/>
      <c r="E1105" s="203"/>
      <c r="F1105" s="87"/>
      <c r="G1105" s="204"/>
      <c r="H1105" s="87"/>
      <c r="I1105" s="87"/>
      <c r="J1105" s="87"/>
      <c r="K1105" s="87"/>
      <c r="L1105" s="87"/>
      <c r="M1105" s="87"/>
      <c r="N1105" s="87"/>
      <c r="O1105" s="87"/>
      <c r="P1105" s="87"/>
      <c r="Q1105" s="87"/>
      <c r="R1105" s="155"/>
      <c r="S1105" s="156"/>
      <c r="T1105" s="157"/>
      <c r="U1105" s="173"/>
      <c r="V1105" s="157"/>
      <c r="W1105" s="157"/>
      <c r="X1105" s="87"/>
      <c r="Y1105" s="87"/>
      <c r="Z1105" s="87"/>
      <c r="AA1105" s="87"/>
    </row>
    <row r="1106" ht="12" customHeight="1" spans="1:27">
      <c r="A1106" s="87"/>
      <c r="B1106" s="87"/>
      <c r="C1106" s="87"/>
      <c r="D1106" s="87"/>
      <c r="E1106" s="203"/>
      <c r="F1106" s="87"/>
      <c r="G1106" s="204"/>
      <c r="H1106" s="87"/>
      <c r="I1106" s="87"/>
      <c r="J1106" s="87"/>
      <c r="K1106" s="87"/>
      <c r="L1106" s="87"/>
      <c r="M1106" s="87"/>
      <c r="N1106" s="87"/>
      <c r="O1106" s="87"/>
      <c r="P1106" s="87"/>
      <c r="Q1106" s="87"/>
      <c r="R1106" s="155"/>
      <c r="S1106" s="156"/>
      <c r="T1106" s="157"/>
      <c r="U1106" s="173"/>
      <c r="V1106" s="157"/>
      <c r="W1106" s="157"/>
      <c r="X1106" s="87"/>
      <c r="Y1106" s="87"/>
      <c r="Z1106" s="87"/>
      <c r="AA1106" s="87"/>
    </row>
    <row r="1107" ht="12" customHeight="1" spans="1:27">
      <c r="A1107" s="87"/>
      <c r="B1107" s="87"/>
      <c r="C1107" s="87"/>
      <c r="D1107" s="87"/>
      <c r="E1107" s="203"/>
      <c r="F1107" s="87"/>
      <c r="G1107" s="204"/>
      <c r="H1107" s="87"/>
      <c r="I1107" s="87"/>
      <c r="J1107" s="87"/>
      <c r="K1107" s="87"/>
      <c r="L1107" s="87"/>
      <c r="M1107" s="87"/>
      <c r="N1107" s="87"/>
      <c r="O1107" s="87"/>
      <c r="P1107" s="87"/>
      <c r="Q1107" s="87"/>
      <c r="R1107" s="155"/>
      <c r="S1107" s="156"/>
      <c r="T1107" s="157"/>
      <c r="U1107" s="173"/>
      <c r="V1107" s="157"/>
      <c r="W1107" s="157"/>
      <c r="X1107" s="87"/>
      <c r="Y1107" s="87"/>
      <c r="Z1107" s="87"/>
      <c r="AA1107" s="87"/>
    </row>
    <row r="1108" ht="12" customHeight="1" spans="1:27">
      <c r="A1108" s="87"/>
      <c r="B1108" s="87"/>
      <c r="C1108" s="87"/>
      <c r="D1108" s="87"/>
      <c r="E1108" s="203"/>
      <c r="F1108" s="87"/>
      <c r="G1108" s="204"/>
      <c r="H1108" s="87"/>
      <c r="I1108" s="87"/>
      <c r="J1108" s="87"/>
      <c r="K1108" s="87"/>
      <c r="L1108" s="87"/>
      <c r="M1108" s="87"/>
      <c r="N1108" s="87"/>
      <c r="O1108" s="87"/>
      <c r="P1108" s="87"/>
      <c r="Q1108" s="87"/>
      <c r="R1108" s="155"/>
      <c r="S1108" s="156"/>
      <c r="T1108" s="157"/>
      <c r="U1108" s="173"/>
      <c r="V1108" s="157"/>
      <c r="W1108" s="157"/>
      <c r="X1108" s="87"/>
      <c r="Y1108" s="87"/>
      <c r="Z1108" s="87"/>
      <c r="AA1108" s="87"/>
    </row>
    <row r="1109" ht="12" customHeight="1" spans="1:27">
      <c r="A1109" s="87"/>
      <c r="B1109" s="87"/>
      <c r="C1109" s="87"/>
      <c r="D1109" s="87"/>
      <c r="E1109" s="203"/>
      <c r="F1109" s="87"/>
      <c r="G1109" s="204"/>
      <c r="H1109" s="87"/>
      <c r="I1109" s="87"/>
      <c r="J1109" s="87"/>
      <c r="K1109" s="87"/>
      <c r="L1109" s="87"/>
      <c r="M1109" s="87"/>
      <c r="N1109" s="87"/>
      <c r="O1109" s="87"/>
      <c r="P1109" s="87"/>
      <c r="Q1109" s="87"/>
      <c r="R1109" s="155"/>
      <c r="S1109" s="156"/>
      <c r="T1109" s="157"/>
      <c r="U1109" s="173"/>
      <c r="V1109" s="157"/>
      <c r="W1109" s="157"/>
      <c r="X1109" s="87"/>
      <c r="Y1109" s="87"/>
      <c r="Z1109" s="87"/>
      <c r="AA1109" s="87"/>
    </row>
    <row r="1110" ht="12" customHeight="1" spans="1:27">
      <c r="A1110" s="87"/>
      <c r="B1110" s="87"/>
      <c r="C1110" s="87"/>
      <c r="D1110" s="87"/>
      <c r="E1110" s="203"/>
      <c r="F1110" s="87"/>
      <c r="G1110" s="204"/>
      <c r="H1110" s="87"/>
      <c r="I1110" s="87"/>
      <c r="J1110" s="87"/>
      <c r="K1110" s="87"/>
      <c r="L1110" s="87"/>
      <c r="M1110" s="87"/>
      <c r="N1110" s="87"/>
      <c r="O1110" s="87"/>
      <c r="P1110" s="87"/>
      <c r="Q1110" s="87"/>
      <c r="R1110" s="155"/>
      <c r="S1110" s="156"/>
      <c r="T1110" s="157"/>
      <c r="U1110" s="173"/>
      <c r="V1110" s="157"/>
      <c r="W1110" s="157"/>
      <c r="X1110" s="87"/>
      <c r="Y1110" s="87"/>
      <c r="Z1110" s="87"/>
      <c r="AA1110" s="87"/>
    </row>
    <row r="1111" ht="12" customHeight="1" spans="1:27">
      <c r="A1111" s="87"/>
      <c r="B1111" s="87"/>
      <c r="C1111" s="87"/>
      <c r="D1111" s="87"/>
      <c r="E1111" s="203"/>
      <c r="F1111" s="87"/>
      <c r="G1111" s="204"/>
      <c r="H1111" s="87"/>
      <c r="I1111" s="87"/>
      <c r="J1111" s="87"/>
      <c r="K1111" s="87"/>
      <c r="L1111" s="87"/>
      <c r="M1111" s="87"/>
      <c r="N1111" s="87"/>
      <c r="O1111" s="87"/>
      <c r="P1111" s="87"/>
      <c r="Q1111" s="87"/>
      <c r="R1111" s="155"/>
      <c r="S1111" s="156"/>
      <c r="T1111" s="157"/>
      <c r="U1111" s="173"/>
      <c r="V1111" s="157"/>
      <c r="W1111" s="157"/>
      <c r="X1111" s="87"/>
      <c r="Y1111" s="87"/>
      <c r="Z1111" s="87"/>
      <c r="AA1111" s="87"/>
    </row>
    <row r="1112" ht="12" customHeight="1" spans="1:27">
      <c r="A1112" s="87"/>
      <c r="B1112" s="87"/>
      <c r="C1112" s="87"/>
      <c r="D1112" s="87"/>
      <c r="E1112" s="203"/>
      <c r="F1112" s="87"/>
      <c r="G1112" s="204"/>
      <c r="H1112" s="87"/>
      <c r="I1112" s="87"/>
      <c r="J1112" s="87"/>
      <c r="K1112" s="87"/>
      <c r="L1112" s="87"/>
      <c r="M1112" s="87"/>
      <c r="N1112" s="87"/>
      <c r="O1112" s="87"/>
      <c r="P1112" s="87"/>
      <c r="Q1112" s="87"/>
      <c r="R1112" s="155"/>
      <c r="S1112" s="156"/>
      <c r="T1112" s="157"/>
      <c r="U1112" s="173"/>
      <c r="V1112" s="157"/>
      <c r="W1112" s="157"/>
      <c r="X1112" s="87"/>
      <c r="Y1112" s="87"/>
      <c r="Z1112" s="87"/>
      <c r="AA1112" s="87"/>
    </row>
    <row r="1113" ht="12" customHeight="1" spans="1:27">
      <c r="A1113" s="87"/>
      <c r="B1113" s="87"/>
      <c r="C1113" s="87"/>
      <c r="D1113" s="87"/>
      <c r="E1113" s="203"/>
      <c r="F1113" s="87"/>
      <c r="G1113" s="204"/>
      <c r="H1113" s="87"/>
      <c r="I1113" s="87"/>
      <c r="J1113" s="87"/>
      <c r="K1113" s="87"/>
      <c r="L1113" s="87"/>
      <c r="M1113" s="87"/>
      <c r="N1113" s="87"/>
      <c r="O1113" s="87"/>
      <c r="P1113" s="87"/>
      <c r="Q1113" s="87"/>
      <c r="R1113" s="155"/>
      <c r="S1113" s="156"/>
      <c r="T1113" s="157"/>
      <c r="U1113" s="173"/>
      <c r="V1113" s="157"/>
      <c r="W1113" s="157"/>
      <c r="X1113" s="87"/>
      <c r="Y1113" s="87"/>
      <c r="Z1113" s="87"/>
      <c r="AA1113" s="87"/>
    </row>
    <row r="1114" ht="12" customHeight="1" spans="1:27">
      <c r="A1114" s="87"/>
      <c r="B1114" s="87"/>
      <c r="C1114" s="87"/>
      <c r="D1114" s="87"/>
      <c r="E1114" s="203"/>
      <c r="F1114" s="87"/>
      <c r="G1114" s="204"/>
      <c r="H1114" s="87"/>
      <c r="I1114" s="87"/>
      <c r="J1114" s="87"/>
      <c r="K1114" s="87"/>
      <c r="L1114" s="87"/>
      <c r="M1114" s="87"/>
      <c r="N1114" s="87"/>
      <c r="O1114" s="87"/>
      <c r="P1114" s="87"/>
      <c r="Q1114" s="87"/>
      <c r="R1114" s="155"/>
      <c r="S1114" s="156"/>
      <c r="T1114" s="157"/>
      <c r="U1114" s="173"/>
      <c r="V1114" s="157"/>
      <c r="W1114" s="157"/>
      <c r="X1114" s="87"/>
      <c r="Y1114" s="87"/>
      <c r="Z1114" s="87"/>
      <c r="AA1114" s="87"/>
    </row>
    <row r="1115" ht="12" customHeight="1" spans="1:27">
      <c r="A1115" s="87"/>
      <c r="B1115" s="87"/>
      <c r="C1115" s="87"/>
      <c r="D1115" s="87"/>
      <c r="E1115" s="203"/>
      <c r="F1115" s="87"/>
      <c r="G1115" s="204"/>
      <c r="H1115" s="87"/>
      <c r="I1115" s="87"/>
      <c r="J1115" s="87"/>
      <c r="K1115" s="87"/>
      <c r="L1115" s="87"/>
      <c r="M1115" s="87"/>
      <c r="N1115" s="87"/>
      <c r="O1115" s="87"/>
      <c r="P1115" s="87"/>
      <c r="Q1115" s="87"/>
      <c r="R1115" s="155"/>
      <c r="S1115" s="156"/>
      <c r="T1115" s="157"/>
      <c r="U1115" s="173"/>
      <c r="V1115" s="157"/>
      <c r="W1115" s="157"/>
      <c r="X1115" s="87"/>
      <c r="Y1115" s="87"/>
      <c r="Z1115" s="87"/>
      <c r="AA1115" s="87"/>
    </row>
    <row r="1116" ht="12" customHeight="1" spans="1:27">
      <c r="A1116" s="87"/>
      <c r="B1116" s="87"/>
      <c r="C1116" s="87"/>
      <c r="D1116" s="87"/>
      <c r="E1116" s="203"/>
      <c r="F1116" s="87"/>
      <c r="G1116" s="204"/>
      <c r="H1116" s="87"/>
      <c r="I1116" s="87"/>
      <c r="J1116" s="87"/>
      <c r="K1116" s="87"/>
      <c r="L1116" s="87"/>
      <c r="M1116" s="87"/>
      <c r="N1116" s="87"/>
      <c r="O1116" s="87"/>
      <c r="P1116" s="87"/>
      <c r="Q1116" s="87"/>
      <c r="R1116" s="155"/>
      <c r="S1116" s="156"/>
      <c r="T1116" s="157"/>
      <c r="U1116" s="173"/>
      <c r="V1116" s="157"/>
      <c r="W1116" s="157"/>
      <c r="X1116" s="87"/>
      <c r="Y1116" s="87"/>
      <c r="Z1116" s="87"/>
      <c r="AA1116" s="87"/>
    </row>
    <row r="1117" ht="12" customHeight="1" spans="1:27">
      <c r="A1117" s="87"/>
      <c r="B1117" s="87"/>
      <c r="C1117" s="87"/>
      <c r="D1117" s="87"/>
      <c r="E1117" s="203"/>
      <c r="F1117" s="87"/>
      <c r="G1117" s="204"/>
      <c r="H1117" s="87"/>
      <c r="I1117" s="87"/>
      <c r="J1117" s="87"/>
      <c r="K1117" s="87"/>
      <c r="L1117" s="87"/>
      <c r="M1117" s="87"/>
      <c r="N1117" s="87"/>
      <c r="O1117" s="87"/>
      <c r="P1117" s="87"/>
      <c r="Q1117" s="87"/>
      <c r="R1117" s="155"/>
      <c r="S1117" s="156"/>
      <c r="T1117" s="157"/>
      <c r="U1117" s="173"/>
      <c r="V1117" s="157"/>
      <c r="W1117" s="157"/>
      <c r="X1117" s="87"/>
      <c r="Y1117" s="87"/>
      <c r="Z1117" s="87"/>
      <c r="AA1117" s="87"/>
    </row>
    <row r="1118" ht="12" customHeight="1" spans="1:27">
      <c r="A1118" s="87"/>
      <c r="B1118" s="87"/>
      <c r="C1118" s="87"/>
      <c r="D1118" s="87"/>
      <c r="E1118" s="203"/>
      <c r="F1118" s="87"/>
      <c r="G1118" s="204"/>
      <c r="H1118" s="87"/>
      <c r="I1118" s="87"/>
      <c r="J1118" s="87"/>
      <c r="K1118" s="87"/>
      <c r="L1118" s="87"/>
      <c r="M1118" s="87"/>
      <c r="N1118" s="87"/>
      <c r="O1118" s="87"/>
      <c r="P1118" s="87"/>
      <c r="Q1118" s="87"/>
      <c r="R1118" s="155"/>
      <c r="S1118" s="156"/>
      <c r="T1118" s="157"/>
      <c r="U1118" s="173"/>
      <c r="V1118" s="157"/>
      <c r="W1118" s="157"/>
      <c r="X1118" s="87"/>
      <c r="Y1118" s="87"/>
      <c r="Z1118" s="87"/>
      <c r="AA1118" s="87"/>
    </row>
    <row r="1119" ht="12" customHeight="1" spans="1:27">
      <c r="A1119" s="87"/>
      <c r="B1119" s="87"/>
      <c r="C1119" s="87"/>
      <c r="D1119" s="87"/>
      <c r="E1119" s="203"/>
      <c r="F1119" s="87"/>
      <c r="G1119" s="204"/>
      <c r="H1119" s="87"/>
      <c r="I1119" s="87"/>
      <c r="J1119" s="87"/>
      <c r="K1119" s="87"/>
      <c r="L1119" s="87"/>
      <c r="M1119" s="87"/>
      <c r="N1119" s="87"/>
      <c r="O1119" s="87"/>
      <c r="P1119" s="87"/>
      <c r="Q1119" s="87"/>
      <c r="R1119" s="155"/>
      <c r="S1119" s="156"/>
      <c r="T1119" s="157"/>
      <c r="U1119" s="173"/>
      <c r="V1119" s="157"/>
      <c r="W1119" s="157"/>
      <c r="X1119" s="87"/>
      <c r="Y1119" s="87"/>
      <c r="Z1119" s="87"/>
      <c r="AA1119" s="87"/>
    </row>
    <row r="1120" ht="12" customHeight="1" spans="1:27">
      <c r="A1120" s="87"/>
      <c r="B1120" s="87"/>
      <c r="C1120" s="87"/>
      <c r="D1120" s="87"/>
      <c r="E1120" s="203"/>
      <c r="F1120" s="87"/>
      <c r="G1120" s="204"/>
      <c r="H1120" s="87"/>
      <c r="I1120" s="87"/>
      <c r="J1120" s="87"/>
      <c r="K1120" s="87"/>
      <c r="L1120" s="87"/>
      <c r="M1120" s="87"/>
      <c r="N1120" s="87"/>
      <c r="O1120" s="87"/>
      <c r="P1120" s="87"/>
      <c r="Q1120" s="87"/>
      <c r="R1120" s="155"/>
      <c r="S1120" s="156"/>
      <c r="T1120" s="157"/>
      <c r="U1120" s="173"/>
      <c r="V1120" s="157"/>
      <c r="W1120" s="157"/>
      <c r="X1120" s="87"/>
      <c r="Y1120" s="87"/>
      <c r="Z1120" s="87"/>
      <c r="AA1120" s="87"/>
    </row>
    <row r="1121" ht="12" customHeight="1" spans="1:27">
      <c r="A1121" s="87"/>
      <c r="B1121" s="87"/>
      <c r="C1121" s="87"/>
      <c r="D1121" s="87"/>
      <c r="E1121" s="203"/>
      <c r="F1121" s="87"/>
      <c r="G1121" s="204"/>
      <c r="H1121" s="87"/>
      <c r="I1121" s="87"/>
      <c r="J1121" s="87"/>
      <c r="K1121" s="87"/>
      <c r="L1121" s="87"/>
      <c r="M1121" s="87"/>
      <c r="N1121" s="87"/>
      <c r="O1121" s="87"/>
      <c r="P1121" s="87"/>
      <c r="Q1121" s="87"/>
      <c r="R1121" s="155"/>
      <c r="S1121" s="156"/>
      <c r="T1121" s="157"/>
      <c r="U1121" s="173"/>
      <c r="V1121" s="157"/>
      <c r="W1121" s="157"/>
      <c r="X1121" s="87"/>
      <c r="Y1121" s="87"/>
      <c r="Z1121" s="87"/>
      <c r="AA1121" s="87"/>
    </row>
    <row r="1122" ht="12" customHeight="1" spans="1:27">
      <c r="A1122" s="87"/>
      <c r="B1122" s="87"/>
      <c r="C1122" s="87"/>
      <c r="D1122" s="87"/>
      <c r="E1122" s="203"/>
      <c r="F1122" s="87"/>
      <c r="G1122" s="204"/>
      <c r="H1122" s="87"/>
      <c r="I1122" s="87"/>
      <c r="J1122" s="87"/>
      <c r="K1122" s="87"/>
      <c r="L1122" s="87"/>
      <c r="M1122" s="87"/>
      <c r="N1122" s="87"/>
      <c r="O1122" s="87"/>
      <c r="P1122" s="87"/>
      <c r="Q1122" s="87"/>
      <c r="R1122" s="155"/>
      <c r="S1122" s="156"/>
      <c r="T1122" s="157"/>
      <c r="U1122" s="173"/>
      <c r="V1122" s="157"/>
      <c r="W1122" s="157"/>
      <c r="X1122" s="87"/>
      <c r="Y1122" s="87"/>
      <c r="Z1122" s="87"/>
      <c r="AA1122" s="87"/>
    </row>
    <row r="1123" ht="12" customHeight="1" spans="1:27">
      <c r="A1123" s="87"/>
      <c r="B1123" s="87"/>
      <c r="C1123" s="87"/>
      <c r="D1123" s="87"/>
      <c r="E1123" s="203"/>
      <c r="F1123" s="87"/>
      <c r="G1123" s="204"/>
      <c r="H1123" s="87"/>
      <c r="I1123" s="87"/>
      <c r="J1123" s="87"/>
      <c r="K1123" s="87"/>
      <c r="L1123" s="87"/>
      <c r="M1123" s="87"/>
      <c r="N1123" s="87"/>
      <c r="O1123" s="87"/>
      <c r="P1123" s="87"/>
      <c r="Q1123" s="87"/>
      <c r="R1123" s="155"/>
      <c r="S1123" s="156"/>
      <c r="T1123" s="157"/>
      <c r="U1123" s="173"/>
      <c r="V1123" s="157"/>
      <c r="W1123" s="157"/>
      <c r="X1123" s="87"/>
      <c r="Y1123" s="87"/>
      <c r="Z1123" s="87"/>
      <c r="AA1123" s="87"/>
    </row>
    <row r="1124" ht="12" customHeight="1" spans="1:27">
      <c r="A1124" s="87"/>
      <c r="B1124" s="87"/>
      <c r="C1124" s="87"/>
      <c r="D1124" s="87"/>
      <c r="E1124" s="203"/>
      <c r="F1124" s="87"/>
      <c r="G1124" s="204"/>
      <c r="H1124" s="87"/>
      <c r="I1124" s="87"/>
      <c r="J1124" s="87"/>
      <c r="K1124" s="87"/>
      <c r="L1124" s="87"/>
      <c r="M1124" s="87"/>
      <c r="N1124" s="87"/>
      <c r="O1124" s="87"/>
      <c r="P1124" s="87"/>
      <c r="Q1124" s="87"/>
      <c r="R1124" s="155"/>
      <c r="S1124" s="156"/>
      <c r="T1124" s="157"/>
      <c r="U1124" s="173"/>
      <c r="V1124" s="157"/>
      <c r="W1124" s="157"/>
      <c r="X1124" s="87"/>
      <c r="Y1124" s="87"/>
      <c r="Z1124" s="87"/>
      <c r="AA1124" s="87"/>
    </row>
    <row r="1125" ht="12" customHeight="1" spans="1:27">
      <c r="A1125" s="87"/>
      <c r="B1125" s="87"/>
      <c r="C1125" s="87"/>
      <c r="D1125" s="87"/>
      <c r="E1125" s="203"/>
      <c r="F1125" s="87"/>
      <c r="G1125" s="204"/>
      <c r="H1125" s="87"/>
      <c r="I1125" s="87"/>
      <c r="J1125" s="87"/>
      <c r="K1125" s="87"/>
      <c r="L1125" s="87"/>
      <c r="M1125" s="87"/>
      <c r="N1125" s="87"/>
      <c r="O1125" s="87"/>
      <c r="P1125" s="87"/>
      <c r="Q1125" s="87"/>
      <c r="R1125" s="155"/>
      <c r="S1125" s="156"/>
      <c r="T1125" s="157"/>
      <c r="U1125" s="173"/>
      <c r="V1125" s="157"/>
      <c r="W1125" s="157"/>
      <c r="X1125" s="87"/>
      <c r="Y1125" s="87"/>
      <c r="Z1125" s="87"/>
      <c r="AA1125" s="87"/>
    </row>
    <row r="1126" ht="12" customHeight="1" spans="1:27">
      <c r="A1126" s="87"/>
      <c r="B1126" s="87"/>
      <c r="C1126" s="87"/>
      <c r="D1126" s="87"/>
      <c r="E1126" s="203"/>
      <c r="F1126" s="87"/>
      <c r="G1126" s="204"/>
      <c r="H1126" s="87"/>
      <c r="I1126" s="87"/>
      <c r="J1126" s="87"/>
      <c r="K1126" s="87"/>
      <c r="L1126" s="87"/>
      <c r="M1126" s="87"/>
      <c r="N1126" s="87"/>
      <c r="O1126" s="87"/>
      <c r="P1126" s="87"/>
      <c r="Q1126" s="87"/>
      <c r="R1126" s="155"/>
      <c r="S1126" s="156"/>
      <c r="T1126" s="157"/>
      <c r="U1126" s="173"/>
      <c r="V1126" s="157"/>
      <c r="W1126" s="157"/>
      <c r="X1126" s="87"/>
      <c r="Y1126" s="87"/>
      <c r="Z1126" s="87"/>
      <c r="AA1126" s="87"/>
    </row>
    <row r="1127" ht="12" customHeight="1" spans="1:27">
      <c r="A1127" s="87"/>
      <c r="B1127" s="87"/>
      <c r="C1127" s="87"/>
      <c r="D1127" s="87"/>
      <c r="E1127" s="203"/>
      <c r="F1127" s="87"/>
      <c r="G1127" s="204"/>
      <c r="H1127" s="87"/>
      <c r="I1127" s="87"/>
      <c r="J1127" s="87"/>
      <c r="K1127" s="87"/>
      <c r="L1127" s="87"/>
      <c r="M1127" s="87"/>
      <c r="N1127" s="87"/>
      <c r="O1127" s="87"/>
      <c r="P1127" s="87"/>
      <c r="Q1127" s="87"/>
      <c r="R1127" s="155"/>
      <c r="S1127" s="156"/>
      <c r="T1127" s="157"/>
      <c r="U1127" s="173"/>
      <c r="V1127" s="157"/>
      <c r="W1127" s="157"/>
      <c r="X1127" s="87"/>
      <c r="Y1127" s="87"/>
      <c r="Z1127" s="87"/>
      <c r="AA1127" s="87"/>
    </row>
    <row r="1128" ht="12" customHeight="1" spans="1:27">
      <c r="A1128" s="87"/>
      <c r="B1128" s="87"/>
      <c r="C1128" s="87"/>
      <c r="D1128" s="87"/>
      <c r="E1128" s="203"/>
      <c r="F1128" s="87"/>
      <c r="G1128" s="204"/>
      <c r="H1128" s="87"/>
      <c r="I1128" s="87"/>
      <c r="J1128" s="87"/>
      <c r="K1128" s="87"/>
      <c r="L1128" s="87"/>
      <c r="M1128" s="87"/>
      <c r="N1128" s="87"/>
      <c r="O1128" s="87"/>
      <c r="P1128" s="87"/>
      <c r="Q1128" s="87"/>
      <c r="R1128" s="155"/>
      <c r="S1128" s="156"/>
      <c r="T1128" s="157"/>
      <c r="U1128" s="173"/>
      <c r="V1128" s="157"/>
      <c r="W1128" s="157"/>
      <c r="X1128" s="87"/>
      <c r="Y1128" s="87"/>
      <c r="Z1128" s="87"/>
      <c r="AA1128" s="87"/>
    </row>
    <row r="1129" ht="12" customHeight="1" spans="1:27">
      <c r="A1129" s="87"/>
      <c r="B1129" s="87"/>
      <c r="C1129" s="87"/>
      <c r="D1129" s="87"/>
      <c r="E1129" s="203"/>
      <c r="F1129" s="87"/>
      <c r="G1129" s="204"/>
      <c r="H1129" s="87"/>
      <c r="I1129" s="87"/>
      <c r="J1129" s="87"/>
      <c r="K1129" s="87"/>
      <c r="L1129" s="87"/>
      <c r="M1129" s="87"/>
      <c r="N1129" s="87"/>
      <c r="O1129" s="87"/>
      <c r="P1129" s="87"/>
      <c r="Q1129" s="87"/>
      <c r="R1129" s="155"/>
      <c r="S1129" s="156"/>
      <c r="T1129" s="157"/>
      <c r="U1129" s="173"/>
      <c r="V1129" s="157"/>
      <c r="W1129" s="157"/>
      <c r="X1129" s="87"/>
      <c r="Y1129" s="87"/>
      <c r="Z1129" s="87"/>
      <c r="AA1129" s="87"/>
    </row>
    <row r="1130" ht="12" customHeight="1" spans="1:27">
      <c r="A1130" s="87"/>
      <c r="B1130" s="87"/>
      <c r="C1130" s="87"/>
      <c r="D1130" s="87"/>
      <c r="E1130" s="203"/>
      <c r="F1130" s="87"/>
      <c r="G1130" s="204"/>
      <c r="H1130" s="87"/>
      <c r="I1130" s="87"/>
      <c r="J1130" s="87"/>
      <c r="K1130" s="87"/>
      <c r="L1130" s="87"/>
      <c r="M1130" s="87"/>
      <c r="N1130" s="87"/>
      <c r="O1130" s="87"/>
      <c r="P1130" s="87"/>
      <c r="Q1130" s="87"/>
      <c r="R1130" s="155"/>
      <c r="S1130" s="156"/>
      <c r="T1130" s="157"/>
      <c r="U1130" s="173"/>
      <c r="V1130" s="157"/>
      <c r="W1130" s="157"/>
      <c r="X1130" s="87"/>
      <c r="Y1130" s="87"/>
      <c r="Z1130" s="87"/>
      <c r="AA1130" s="87"/>
    </row>
    <row r="1131" ht="12" customHeight="1" spans="1:27">
      <c r="A1131" s="87"/>
      <c r="B1131" s="87"/>
      <c r="C1131" s="87"/>
      <c r="D1131" s="87"/>
      <c r="E1131" s="203"/>
      <c r="F1131" s="87"/>
      <c r="G1131" s="204"/>
      <c r="H1131" s="87"/>
      <c r="I1131" s="87"/>
      <c r="J1131" s="87"/>
      <c r="K1131" s="87"/>
      <c r="L1131" s="87"/>
      <c r="M1131" s="87"/>
      <c r="N1131" s="87"/>
      <c r="O1131" s="87"/>
      <c r="P1131" s="87"/>
      <c r="Q1131" s="87"/>
      <c r="R1131" s="155"/>
      <c r="S1131" s="156"/>
      <c r="T1131" s="157"/>
      <c r="U1131" s="173"/>
      <c r="V1131" s="157"/>
      <c r="W1131" s="157"/>
      <c r="X1131" s="87"/>
      <c r="Y1131" s="87"/>
      <c r="Z1131" s="87"/>
      <c r="AA1131" s="87"/>
    </row>
    <row r="1132" ht="12" customHeight="1" spans="1:27">
      <c r="A1132" s="87"/>
      <c r="B1132" s="87"/>
      <c r="C1132" s="87"/>
      <c r="D1132" s="87"/>
      <c r="E1132" s="203"/>
      <c r="F1132" s="87"/>
      <c r="G1132" s="204"/>
      <c r="H1132" s="87"/>
      <c r="I1132" s="87"/>
      <c r="J1132" s="87"/>
      <c r="K1132" s="87"/>
      <c r="L1132" s="87"/>
      <c r="M1132" s="87"/>
      <c r="N1132" s="87"/>
      <c r="O1132" s="87"/>
      <c r="P1132" s="87"/>
      <c r="Q1132" s="87"/>
      <c r="R1132" s="155"/>
      <c r="S1132" s="156"/>
      <c r="T1132" s="157"/>
      <c r="U1132" s="173"/>
      <c r="V1132" s="157"/>
      <c r="W1132" s="157"/>
      <c r="X1132" s="87"/>
      <c r="Y1132" s="87"/>
      <c r="Z1132" s="87"/>
      <c r="AA1132" s="87"/>
    </row>
    <row r="1133" ht="12" customHeight="1" spans="1:27">
      <c r="A1133" s="87"/>
      <c r="B1133" s="87"/>
      <c r="C1133" s="87"/>
      <c r="D1133" s="87"/>
      <c r="E1133" s="203"/>
      <c r="F1133" s="87"/>
      <c r="G1133" s="204"/>
      <c r="H1133" s="87"/>
      <c r="I1133" s="87"/>
      <c r="J1133" s="87"/>
      <c r="K1133" s="87"/>
      <c r="L1133" s="87"/>
      <c r="M1133" s="87"/>
      <c r="N1133" s="87"/>
      <c r="O1133" s="87"/>
      <c r="P1133" s="87"/>
      <c r="Q1133" s="87"/>
      <c r="R1133" s="155"/>
      <c r="S1133" s="156"/>
      <c r="T1133" s="157"/>
      <c r="U1133" s="173"/>
      <c r="V1133" s="157"/>
      <c r="W1133" s="157"/>
      <c r="X1133" s="87"/>
      <c r="Y1133" s="87"/>
      <c r="Z1133" s="87"/>
      <c r="AA1133" s="87"/>
    </row>
    <row r="1134" ht="12" customHeight="1" spans="1:27">
      <c r="A1134" s="87"/>
      <c r="B1134" s="87"/>
      <c r="C1134" s="87"/>
      <c r="D1134" s="87"/>
      <c r="E1134" s="203"/>
      <c r="F1134" s="87"/>
      <c r="G1134" s="204"/>
      <c r="H1134" s="87"/>
      <c r="I1134" s="87"/>
      <c r="J1134" s="87"/>
      <c r="K1134" s="87"/>
      <c r="L1134" s="87"/>
      <c r="M1134" s="87"/>
      <c r="N1134" s="87"/>
      <c r="O1134" s="87"/>
      <c r="P1134" s="87"/>
      <c r="Q1134" s="87"/>
      <c r="R1134" s="155"/>
      <c r="S1134" s="156"/>
      <c r="T1134" s="157"/>
      <c r="U1134" s="173"/>
      <c r="V1134" s="157"/>
      <c r="W1134" s="157"/>
      <c r="X1134" s="87"/>
      <c r="Y1134" s="87"/>
      <c r="Z1134" s="87"/>
      <c r="AA1134" s="87"/>
    </row>
    <row r="1135" ht="12" customHeight="1" spans="1:27">
      <c r="A1135" s="87"/>
      <c r="B1135" s="87"/>
      <c r="C1135" s="87"/>
      <c r="D1135" s="87"/>
      <c r="E1135" s="203"/>
      <c r="F1135" s="87"/>
      <c r="G1135" s="204"/>
      <c r="H1135" s="87"/>
      <c r="I1135" s="87"/>
      <c r="J1135" s="87"/>
      <c r="K1135" s="87"/>
      <c r="L1135" s="87"/>
      <c r="M1135" s="87"/>
      <c r="N1135" s="87"/>
      <c r="O1135" s="87"/>
      <c r="P1135" s="87"/>
      <c r="Q1135" s="87"/>
      <c r="R1135" s="155"/>
      <c r="S1135" s="156"/>
      <c r="T1135" s="157"/>
      <c r="U1135" s="173"/>
      <c r="V1135" s="157"/>
      <c r="W1135" s="157"/>
      <c r="X1135" s="87"/>
      <c r="Y1135" s="87"/>
      <c r="Z1135" s="87"/>
      <c r="AA1135" s="87"/>
    </row>
    <row r="1136" ht="12" customHeight="1" spans="1:27">
      <c r="A1136" s="87"/>
      <c r="B1136" s="87"/>
      <c r="C1136" s="87"/>
      <c r="D1136" s="87"/>
      <c r="E1136" s="203"/>
      <c r="F1136" s="87"/>
      <c r="G1136" s="204"/>
      <c r="H1136" s="87"/>
      <c r="I1136" s="87"/>
      <c r="J1136" s="87"/>
      <c r="K1136" s="87"/>
      <c r="L1136" s="87"/>
      <c r="M1136" s="87"/>
      <c r="N1136" s="87"/>
      <c r="O1136" s="87"/>
      <c r="P1136" s="87"/>
      <c r="Q1136" s="87"/>
      <c r="R1136" s="155"/>
      <c r="S1136" s="156"/>
      <c r="T1136" s="157"/>
      <c r="U1136" s="173"/>
      <c r="V1136" s="157"/>
      <c r="W1136" s="157"/>
      <c r="X1136" s="87"/>
      <c r="Y1136" s="87"/>
      <c r="Z1136" s="87"/>
      <c r="AA1136" s="87"/>
    </row>
    <row r="1137" ht="12" customHeight="1" spans="1:27">
      <c r="A1137" s="87"/>
      <c r="B1137" s="87"/>
      <c r="C1137" s="87"/>
      <c r="D1137" s="87"/>
      <c r="E1137" s="203"/>
      <c r="F1137" s="87"/>
      <c r="G1137" s="204"/>
      <c r="H1137" s="87"/>
      <c r="I1137" s="87"/>
      <c r="J1137" s="87"/>
      <c r="K1137" s="87"/>
      <c r="L1137" s="87"/>
      <c r="M1137" s="87"/>
      <c r="N1137" s="87"/>
      <c r="O1137" s="87"/>
      <c r="P1137" s="87"/>
      <c r="Q1137" s="87"/>
      <c r="R1137" s="155"/>
      <c r="S1137" s="156"/>
      <c r="T1137" s="157"/>
      <c r="U1137" s="173"/>
      <c r="V1137" s="157"/>
      <c r="W1137" s="157"/>
      <c r="X1137" s="87"/>
      <c r="Y1137" s="87"/>
      <c r="Z1137" s="87"/>
      <c r="AA1137" s="87"/>
    </row>
    <row r="1138" ht="12" customHeight="1" spans="1:27">
      <c r="A1138" s="87"/>
      <c r="B1138" s="87"/>
      <c r="C1138" s="87"/>
      <c r="D1138" s="87"/>
      <c r="E1138" s="203"/>
      <c r="F1138" s="87"/>
      <c r="G1138" s="204"/>
      <c r="H1138" s="87"/>
      <c r="I1138" s="87"/>
      <c r="J1138" s="87"/>
      <c r="K1138" s="87"/>
      <c r="L1138" s="87"/>
      <c r="M1138" s="87"/>
      <c r="N1138" s="87"/>
      <c r="O1138" s="87"/>
      <c r="P1138" s="87"/>
      <c r="Q1138" s="87"/>
      <c r="R1138" s="155"/>
      <c r="S1138" s="156"/>
      <c r="T1138" s="157"/>
      <c r="U1138" s="173"/>
      <c r="V1138" s="157"/>
      <c r="W1138" s="157"/>
      <c r="X1138" s="87"/>
      <c r="Y1138" s="87"/>
      <c r="Z1138" s="87"/>
      <c r="AA1138" s="87"/>
    </row>
  </sheetData>
  <pageMargins left="0.7" right="0.7" top="0.75" bottom="0.75" header="0" footer="0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26"/>
  <sheetViews>
    <sheetView workbookViewId="0">
      <selection activeCell="A1" sqref="A1:F1"/>
    </sheetView>
  </sheetViews>
  <sheetFormatPr defaultColWidth="14.4326923076923" defaultRowHeight="15.75" customHeight="1"/>
  <cols>
    <col min="1" max="1" width="26.2884615384615" customWidth="1"/>
    <col min="3" max="3" width="7.14423076923077" customWidth="1"/>
    <col min="4" max="4" width="7.28846153846154" customWidth="1"/>
    <col min="5" max="5" width="17.8557692307692" customWidth="1"/>
    <col min="8" max="8" width="22.2884615384615" customWidth="1"/>
  </cols>
  <sheetData>
    <row r="1" customHeight="1" spans="1:1">
      <c r="A1" s="81" t="s">
        <v>353</v>
      </c>
    </row>
    <row r="2" customHeight="1" spans="1:6">
      <c r="A2" s="82" t="s">
        <v>354</v>
      </c>
      <c r="B2" s="83">
        <v>520000</v>
      </c>
      <c r="E2" s="82" t="s">
        <v>355</v>
      </c>
      <c r="F2" s="86">
        <v>0.1</v>
      </c>
    </row>
    <row r="3" customHeight="1" spans="1:6">
      <c r="A3" s="82" t="s">
        <v>356</v>
      </c>
      <c r="B3" s="83">
        <v>1200000</v>
      </c>
      <c r="E3" s="82" t="s">
        <v>357</v>
      </c>
      <c r="F3" s="82">
        <v>50</v>
      </c>
    </row>
    <row r="4" customHeight="1" spans="1:6">
      <c r="A4" s="84" t="s">
        <v>358</v>
      </c>
      <c r="B4" s="83">
        <v>1350000</v>
      </c>
      <c r="E4" s="82" t="s">
        <v>359</v>
      </c>
      <c r="F4" s="82">
        <v>100</v>
      </c>
    </row>
    <row r="6" customHeight="1" spans="1:2">
      <c r="A6" s="82" t="s">
        <v>360</v>
      </c>
      <c r="B6" s="83">
        <v>100000</v>
      </c>
    </row>
    <row r="7" customHeight="1" spans="1:2">
      <c r="A7" s="82" t="s">
        <v>361</v>
      </c>
      <c r="B7" s="85">
        <f>B6*F3</f>
        <v>5000000</v>
      </c>
    </row>
    <row r="8" customHeight="1" spans="1:2">
      <c r="A8" s="82" t="s">
        <v>362</v>
      </c>
      <c r="B8" s="85">
        <f>(B3-500000)*F3*F2</f>
        <v>3500000</v>
      </c>
    </row>
    <row r="10" customHeight="1" spans="1:2">
      <c r="A10" s="82" t="s">
        <v>363</v>
      </c>
      <c r="B10" s="85">
        <f>(B4-500000)*F4*F2</f>
        <v>8500000</v>
      </c>
    </row>
    <row r="13" customHeight="1" spans="1:8">
      <c r="A13" s="81" t="s">
        <v>364</v>
      </c>
      <c r="H13" s="81" t="s">
        <v>365</v>
      </c>
    </row>
    <row r="14" customHeight="1" spans="1:13">
      <c r="A14" s="82" t="s">
        <v>366</v>
      </c>
      <c r="B14" s="83">
        <v>2000000</v>
      </c>
      <c r="E14" s="82" t="s">
        <v>355</v>
      </c>
      <c r="F14" s="86">
        <v>0.3</v>
      </c>
      <c r="H14" s="82" t="s">
        <v>366</v>
      </c>
      <c r="I14" s="83">
        <v>2000000</v>
      </c>
      <c r="L14" s="82" t="s">
        <v>355</v>
      </c>
      <c r="M14" s="86">
        <v>0.5</v>
      </c>
    </row>
    <row r="15" customHeight="1" spans="1:13">
      <c r="A15" s="82" t="s">
        <v>367</v>
      </c>
      <c r="B15" s="83">
        <v>3000000</v>
      </c>
      <c r="E15" s="82" t="s">
        <v>357</v>
      </c>
      <c r="F15" s="82">
        <v>50</v>
      </c>
      <c r="H15" s="82" t="s">
        <v>367</v>
      </c>
      <c r="I15" s="83">
        <v>3700000</v>
      </c>
      <c r="L15" s="82" t="s">
        <v>357</v>
      </c>
      <c r="M15" s="82">
        <v>50</v>
      </c>
    </row>
    <row r="16" customHeight="1" spans="1:13">
      <c r="A16" s="84" t="s">
        <v>368</v>
      </c>
      <c r="B16" s="83">
        <v>2700000</v>
      </c>
      <c r="E16" s="82" t="s">
        <v>359</v>
      </c>
      <c r="F16" s="82">
        <v>70</v>
      </c>
      <c r="H16" s="84" t="s">
        <v>368</v>
      </c>
      <c r="I16" s="83">
        <v>3200000</v>
      </c>
      <c r="L16" s="82" t="s">
        <v>359</v>
      </c>
      <c r="M16" s="82">
        <v>70</v>
      </c>
    </row>
    <row r="17" customHeight="1" spans="1:9">
      <c r="A17" s="82" t="s">
        <v>369</v>
      </c>
      <c r="B17" s="83">
        <v>2900000</v>
      </c>
      <c r="H17" s="82" t="s">
        <v>369</v>
      </c>
      <c r="I17" s="83">
        <v>3500000</v>
      </c>
    </row>
    <row r="18" customHeight="1" spans="1:9">
      <c r="A18" s="84" t="s">
        <v>370</v>
      </c>
      <c r="B18" s="83">
        <v>3200000</v>
      </c>
      <c r="H18" s="84" t="s">
        <v>370</v>
      </c>
      <c r="I18" s="83">
        <v>3600000</v>
      </c>
    </row>
    <row r="20" customHeight="1" spans="1:9">
      <c r="A20" s="82" t="s">
        <v>371</v>
      </c>
      <c r="B20" s="83">
        <f>B15-B14</f>
        <v>1000000</v>
      </c>
      <c r="H20" s="82" t="s">
        <v>371</v>
      </c>
      <c r="I20" s="83">
        <f>I15-I14</f>
        <v>1700000</v>
      </c>
    </row>
    <row r="21" customHeight="1" spans="1:8">
      <c r="A21" s="82"/>
      <c r="H21" s="82"/>
    </row>
    <row r="22" customHeight="1" spans="1:9">
      <c r="A22" s="82" t="s">
        <v>372</v>
      </c>
      <c r="B22" s="85">
        <f>B20*F15</f>
        <v>50000000</v>
      </c>
      <c r="H22" s="82" t="s">
        <v>372</v>
      </c>
      <c r="I22" s="85">
        <f>I20*M15</f>
        <v>85000000</v>
      </c>
    </row>
    <row r="23" customHeight="1" spans="1:9">
      <c r="A23" s="82" t="s">
        <v>373</v>
      </c>
      <c r="B23" s="85">
        <f>(B17-B14)*F15*F14</f>
        <v>13500000</v>
      </c>
      <c r="H23" s="82" t="s">
        <v>373</v>
      </c>
      <c r="I23" s="85">
        <f>(I17-I14)*M15*M14</f>
        <v>37500000</v>
      </c>
    </row>
    <row r="25" customHeight="1" spans="1:9">
      <c r="A25" s="82" t="s">
        <v>374</v>
      </c>
      <c r="B25" s="85">
        <f>(B16-B14)*F16</f>
        <v>49000000</v>
      </c>
      <c r="H25" s="82" t="s">
        <v>374</v>
      </c>
      <c r="I25" s="85">
        <f>(I16-I14)*M16</f>
        <v>84000000</v>
      </c>
    </row>
    <row r="26" customHeight="1" spans="1:9">
      <c r="A26" s="82" t="s">
        <v>375</v>
      </c>
      <c r="B26" s="85">
        <f>(B18-B14)*F16*F14</f>
        <v>25200000</v>
      </c>
      <c r="H26" s="82" t="s">
        <v>375</v>
      </c>
      <c r="I26" s="85">
        <f>(I18-I14)*M16*M14</f>
        <v>56000000</v>
      </c>
    </row>
  </sheetData>
  <mergeCells count="3">
    <mergeCell ref="A1:F1"/>
    <mergeCell ref="A13:F13"/>
    <mergeCell ref="H13:M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7"/>
  <sheetViews>
    <sheetView workbookViewId="0">
      <selection activeCell="A1" sqref="A1"/>
    </sheetView>
  </sheetViews>
  <sheetFormatPr defaultColWidth="14.4326923076923" defaultRowHeight="15.75" customHeight="1" outlineLevelCol="1"/>
  <cols>
    <col min="1" max="1" width="27.4326923076923" customWidth="1"/>
  </cols>
  <sheetData>
    <row r="1" customHeight="1" spans="1:1">
      <c r="A1" s="74" t="s">
        <v>376</v>
      </c>
    </row>
    <row r="3" customHeight="1" spans="1:2">
      <c r="A3" s="75" t="s">
        <v>377</v>
      </c>
      <c r="B3" s="76"/>
    </row>
    <row r="4" customHeight="1" spans="1:2">
      <c r="A4" s="75" t="s">
        <v>378</v>
      </c>
      <c r="B4" s="77">
        <v>2900000</v>
      </c>
    </row>
    <row r="5" customHeight="1" spans="1:2">
      <c r="A5" s="75" t="s">
        <v>379</v>
      </c>
      <c r="B5" s="77">
        <v>2500000</v>
      </c>
    </row>
    <row r="6" customHeight="1" spans="1:2">
      <c r="A6" s="75" t="s">
        <v>380</v>
      </c>
      <c r="B6" s="77">
        <v>5000000</v>
      </c>
    </row>
    <row r="7" customHeight="1" spans="1:2">
      <c r="A7" s="78" t="s">
        <v>381</v>
      </c>
      <c r="B7" s="79">
        <f>SUM(B4:B6)</f>
        <v>10400000</v>
      </c>
    </row>
    <row r="9" customHeight="1" spans="1:2">
      <c r="A9" s="75" t="s">
        <v>382</v>
      </c>
      <c r="B9" s="76"/>
    </row>
    <row r="10" customHeight="1" spans="1:2">
      <c r="A10" s="75" t="s">
        <v>378</v>
      </c>
      <c r="B10" s="77">
        <v>2900000</v>
      </c>
    </row>
    <row r="11" customHeight="1" spans="1:2">
      <c r="A11" s="75" t="s">
        <v>379</v>
      </c>
      <c r="B11" s="77">
        <v>2700000</v>
      </c>
    </row>
    <row r="12" customHeight="1" spans="1:2">
      <c r="A12" s="75" t="s">
        <v>380</v>
      </c>
      <c r="B12" s="77">
        <v>1000000</v>
      </c>
    </row>
    <row r="13" customHeight="1" spans="1:2">
      <c r="A13" s="78" t="s">
        <v>381</v>
      </c>
      <c r="B13" s="79">
        <f>SUM(B10:B12)</f>
        <v>6600000</v>
      </c>
    </row>
    <row r="15" customHeight="1" spans="1:2">
      <c r="A15" s="75" t="s">
        <v>383</v>
      </c>
      <c r="B15" s="76"/>
    </row>
    <row r="16" customHeight="1" spans="1:2">
      <c r="A16" s="80" t="s">
        <v>384</v>
      </c>
      <c r="B16" s="77">
        <v>300000</v>
      </c>
    </row>
    <row r="17" customHeight="1" spans="1:2">
      <c r="A17" s="80" t="s">
        <v>385</v>
      </c>
      <c r="B17" s="77">
        <v>300000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:P4"/>
    </sheetView>
  </sheetViews>
  <sheetFormatPr defaultColWidth="14.4326923076923" defaultRowHeight="15.75" customHeight="1"/>
  <cols>
    <col min="1" max="3" width="9" customWidth="1"/>
    <col min="4" max="4" width="2.56730769230769" customWidth="1"/>
    <col min="5" max="7" width="9" customWidth="1"/>
    <col min="8" max="8" width="5.28846153846154" customWidth="1"/>
    <col min="9" max="11" width="9" customWidth="1"/>
    <col min="12" max="12" width="7.71153846153846" customWidth="1"/>
    <col min="13" max="13" width="0.432692307692308" hidden="1" customWidth="1"/>
    <col min="14" max="15" width="9" customWidth="1"/>
    <col min="16" max="16" width="0.432692307692308" customWidth="1"/>
    <col min="17" max="26" width="9" customWidth="1"/>
  </cols>
  <sheetData>
    <row r="1" ht="16.5" customHeight="1" spans="1:26">
      <c r="A1" s="56" t="s">
        <v>386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47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16.5" customHeight="1" spans="1:26">
      <c r="A2" s="33"/>
      <c r="P2" s="48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16.5" customHeight="1" spans="1:26">
      <c r="A3" s="33"/>
      <c r="P3" s="48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ht="16.5" customHeight="1" spans="1:26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49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16.5" customHeight="1" spans="1:26">
      <c r="A5" s="57" t="s">
        <v>387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2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ht="16.5" customHeight="1" spans="1:26">
      <c r="A6" s="58" t="s">
        <v>388</v>
      </c>
      <c r="B6" s="2"/>
      <c r="C6" s="2"/>
      <c r="D6" s="22"/>
      <c r="E6" s="58" t="s">
        <v>389</v>
      </c>
      <c r="F6" s="2"/>
      <c r="G6" s="2"/>
      <c r="H6" s="22"/>
      <c r="I6" s="58" t="s">
        <v>390</v>
      </c>
      <c r="J6" s="2"/>
      <c r="K6" s="2"/>
      <c r="L6" s="2"/>
      <c r="M6" s="22"/>
      <c r="N6" s="58" t="s">
        <v>391</v>
      </c>
      <c r="O6" s="2"/>
      <c r="P6" s="22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ht="37.5" customHeight="1" spans="1:26">
      <c r="A7" s="59" t="s">
        <v>392</v>
      </c>
      <c r="B7" s="2"/>
      <c r="C7" s="2"/>
      <c r="D7" s="22"/>
      <c r="E7" s="66" t="s">
        <v>393</v>
      </c>
      <c r="F7" s="2"/>
      <c r="G7" s="2"/>
      <c r="H7" s="22"/>
      <c r="I7" s="59" t="s">
        <v>394</v>
      </c>
      <c r="J7" s="2"/>
      <c r="K7" s="2"/>
      <c r="L7" s="2"/>
      <c r="M7" s="22"/>
      <c r="N7" s="59" t="s">
        <v>54</v>
      </c>
      <c r="O7" s="2"/>
      <c r="P7" s="22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ht="16.5" customHeight="1" spans="1:26">
      <c r="A8" s="60" t="s">
        <v>395</v>
      </c>
      <c r="B8" s="16"/>
      <c r="C8" s="16"/>
      <c r="D8" s="47"/>
      <c r="E8" s="67" t="s">
        <v>396</v>
      </c>
      <c r="F8" s="16"/>
      <c r="G8" s="16"/>
      <c r="H8" s="47"/>
      <c r="I8" s="60" t="s">
        <v>397</v>
      </c>
      <c r="J8" s="16"/>
      <c r="K8" s="16"/>
      <c r="L8" s="16"/>
      <c r="M8" s="47"/>
      <c r="N8" s="60" t="s">
        <v>398</v>
      </c>
      <c r="O8" s="16"/>
      <c r="P8" s="47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ht="16.5" customHeight="1" spans="1:26">
      <c r="A9" s="33"/>
      <c r="D9" s="48"/>
      <c r="E9" s="33"/>
      <c r="H9" s="48"/>
      <c r="I9" s="33"/>
      <c r="M9" s="48"/>
      <c r="N9" s="33"/>
      <c r="P9" s="48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ht="16.5" customHeight="1" spans="1:26">
      <c r="A10" s="35"/>
      <c r="B10" s="36"/>
      <c r="C10" s="36"/>
      <c r="D10" s="49"/>
      <c r="E10" s="35"/>
      <c r="F10" s="36"/>
      <c r="G10" s="36"/>
      <c r="H10" s="49"/>
      <c r="I10" s="35"/>
      <c r="J10" s="36"/>
      <c r="K10" s="36"/>
      <c r="L10" s="36"/>
      <c r="M10" s="49"/>
      <c r="N10" s="35"/>
      <c r="O10" s="36"/>
      <c r="P10" s="49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ht="51" customHeight="1" spans="1:26">
      <c r="A11" s="59" t="s">
        <v>399</v>
      </c>
      <c r="B11" s="2"/>
      <c r="C11" s="2"/>
      <c r="D11" s="22"/>
      <c r="E11" s="66" t="s">
        <v>400</v>
      </c>
      <c r="F11" s="2"/>
      <c r="G11" s="2"/>
      <c r="H11" s="22"/>
      <c r="I11" s="59" t="s">
        <v>401</v>
      </c>
      <c r="J11" s="2"/>
      <c r="K11" s="2"/>
      <c r="L11" s="2"/>
      <c r="M11" s="22"/>
      <c r="N11" s="59" t="s">
        <v>54</v>
      </c>
      <c r="O11" s="2"/>
      <c r="P11" s="22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ht="40.5" customHeight="1" spans="1:26">
      <c r="A12" s="59" t="s">
        <v>402</v>
      </c>
      <c r="B12" s="2"/>
      <c r="C12" s="2"/>
      <c r="D12" s="22"/>
      <c r="E12" s="66" t="s">
        <v>403</v>
      </c>
      <c r="F12" s="2"/>
      <c r="G12" s="2"/>
      <c r="H12" s="22"/>
      <c r="I12" s="59" t="s">
        <v>401</v>
      </c>
      <c r="J12" s="2"/>
      <c r="K12" s="2"/>
      <c r="L12" s="2"/>
      <c r="M12" s="22"/>
      <c r="N12" s="59" t="s">
        <v>54</v>
      </c>
      <c r="O12" s="2"/>
      <c r="P12" s="22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ht="52.5" customHeight="1" spans="1:26">
      <c r="A13" s="60" t="s">
        <v>404</v>
      </c>
      <c r="B13" s="16"/>
      <c r="C13" s="16"/>
      <c r="D13" s="47"/>
      <c r="E13" s="67" t="s">
        <v>405</v>
      </c>
      <c r="F13" s="16"/>
      <c r="G13" s="16"/>
      <c r="H13" s="47"/>
      <c r="I13" s="60" t="s">
        <v>397</v>
      </c>
      <c r="J13" s="16"/>
      <c r="K13" s="16"/>
      <c r="L13" s="16"/>
      <c r="M13" s="47"/>
      <c r="N13" s="60" t="s">
        <v>398</v>
      </c>
      <c r="O13" s="16"/>
      <c r="P13" s="47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ht="55.5" customHeight="1" spans="1:26">
      <c r="A14" s="59" t="s">
        <v>406</v>
      </c>
      <c r="B14" s="2"/>
      <c r="C14" s="2"/>
      <c r="D14" s="22"/>
      <c r="E14" s="66" t="s">
        <v>407</v>
      </c>
      <c r="F14" s="2"/>
      <c r="G14" s="2"/>
      <c r="H14" s="22"/>
      <c r="I14" s="59" t="s">
        <v>408</v>
      </c>
      <c r="J14" s="2"/>
      <c r="K14" s="2"/>
      <c r="L14" s="2"/>
      <c r="M14" s="22"/>
      <c r="N14" s="59"/>
      <c r="O14" s="2"/>
      <c r="P14" s="22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ht="55.5" customHeight="1" spans="1:26">
      <c r="A15" s="61" t="s">
        <v>409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49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ht="16.5" customHeight="1" spans="1:26">
      <c r="A16" s="62" t="s">
        <v>410</v>
      </c>
      <c r="D16" s="48"/>
      <c r="E16" s="68" t="s">
        <v>411</v>
      </c>
      <c r="H16" s="48"/>
      <c r="I16" s="62" t="s">
        <v>412</v>
      </c>
      <c r="M16" s="48"/>
      <c r="N16" s="62" t="s">
        <v>413</v>
      </c>
      <c r="P16" s="48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ht="16.5" customHeight="1" spans="1:26">
      <c r="A17" s="33"/>
      <c r="D17" s="48"/>
      <c r="E17" s="33"/>
      <c r="H17" s="48"/>
      <c r="I17" s="33"/>
      <c r="M17" s="48"/>
      <c r="N17" s="33"/>
      <c r="P17" s="48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16.5" customHeight="1" spans="1:26">
      <c r="A18" s="35"/>
      <c r="B18" s="36"/>
      <c r="C18" s="36"/>
      <c r="D18" s="49"/>
      <c r="E18" s="35"/>
      <c r="F18" s="36"/>
      <c r="G18" s="36"/>
      <c r="H18" s="49"/>
      <c r="I18" s="35"/>
      <c r="J18" s="36"/>
      <c r="K18" s="36"/>
      <c r="L18" s="36"/>
      <c r="M18" s="49"/>
      <c r="N18" s="35"/>
      <c r="O18" s="36"/>
      <c r="P18" s="49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t="16.5" customHeight="1" spans="1:26">
      <c r="A19" s="60" t="s">
        <v>414</v>
      </c>
      <c r="B19" s="16"/>
      <c r="C19" s="16"/>
      <c r="D19" s="47"/>
      <c r="E19" s="67" t="s">
        <v>415</v>
      </c>
      <c r="F19" s="16"/>
      <c r="G19" s="16"/>
      <c r="H19" s="47"/>
      <c r="I19" s="60" t="s">
        <v>416</v>
      </c>
      <c r="J19" s="16"/>
      <c r="K19" s="16"/>
      <c r="L19" s="16"/>
      <c r="M19" s="47"/>
      <c r="N19" s="60" t="s">
        <v>417</v>
      </c>
      <c r="O19" s="16"/>
      <c r="P19" s="47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16.5" customHeight="1" spans="1:26">
      <c r="A20" s="33"/>
      <c r="D20" s="48"/>
      <c r="E20" s="33"/>
      <c r="H20" s="48"/>
      <c r="I20" s="33"/>
      <c r="M20" s="48"/>
      <c r="N20" s="33"/>
      <c r="P20" s="48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16.5" customHeight="1" spans="1:26">
      <c r="A21" s="35"/>
      <c r="B21" s="36"/>
      <c r="C21" s="36"/>
      <c r="D21" s="49"/>
      <c r="E21" s="35"/>
      <c r="F21" s="36"/>
      <c r="G21" s="36"/>
      <c r="H21" s="49"/>
      <c r="I21" s="35"/>
      <c r="J21" s="36"/>
      <c r="K21" s="36"/>
      <c r="L21" s="36"/>
      <c r="M21" s="49"/>
      <c r="N21" s="35"/>
      <c r="O21" s="36"/>
      <c r="P21" s="49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16.5" customHeight="1" spans="1:26">
      <c r="A22" s="60" t="s">
        <v>418</v>
      </c>
      <c r="B22" s="16"/>
      <c r="C22" s="16"/>
      <c r="D22" s="47"/>
      <c r="E22" s="67" t="s">
        <v>419</v>
      </c>
      <c r="F22" s="16"/>
      <c r="G22" s="16"/>
      <c r="H22" s="47"/>
      <c r="I22" s="60" t="s">
        <v>420</v>
      </c>
      <c r="J22" s="16"/>
      <c r="K22" s="16"/>
      <c r="L22" s="16"/>
      <c r="M22" s="47"/>
      <c r="N22" s="60" t="s">
        <v>413</v>
      </c>
      <c r="O22" s="16"/>
      <c r="P22" s="47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16.5" customHeight="1" spans="1:26">
      <c r="A23" s="33"/>
      <c r="D23" s="48"/>
      <c r="E23" s="33"/>
      <c r="H23" s="48"/>
      <c r="I23" s="33"/>
      <c r="M23" s="48"/>
      <c r="N23" s="33"/>
      <c r="P23" s="48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6.5" customHeight="1" spans="1:26">
      <c r="A24" s="35"/>
      <c r="B24" s="36"/>
      <c r="C24" s="36"/>
      <c r="D24" s="49"/>
      <c r="E24" s="35"/>
      <c r="F24" s="36"/>
      <c r="G24" s="36"/>
      <c r="H24" s="49"/>
      <c r="I24" s="35"/>
      <c r="J24" s="36"/>
      <c r="K24" s="36"/>
      <c r="L24" s="36"/>
      <c r="M24" s="49"/>
      <c r="N24" s="35"/>
      <c r="O24" s="36"/>
      <c r="P24" s="49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6.5" customHeight="1" spans="1:26">
      <c r="A25" s="60" t="s">
        <v>421</v>
      </c>
      <c r="B25" s="16"/>
      <c r="C25" s="16"/>
      <c r="D25" s="47"/>
      <c r="E25" s="67" t="s">
        <v>422</v>
      </c>
      <c r="F25" s="16"/>
      <c r="G25" s="16"/>
      <c r="H25" s="47"/>
      <c r="I25" s="60" t="s">
        <v>420</v>
      </c>
      <c r="J25" s="16"/>
      <c r="K25" s="16"/>
      <c r="L25" s="16"/>
      <c r="M25" s="47"/>
      <c r="N25" s="60" t="s">
        <v>413</v>
      </c>
      <c r="O25" s="16"/>
      <c r="P25" s="47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16.5" customHeight="1" spans="1:26">
      <c r="A26" s="33"/>
      <c r="D26" s="48"/>
      <c r="E26" s="33"/>
      <c r="H26" s="48"/>
      <c r="I26" s="33"/>
      <c r="M26" s="48"/>
      <c r="N26" s="33"/>
      <c r="P26" s="48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6.5" customHeight="1" spans="1:26">
      <c r="A27" s="35"/>
      <c r="B27" s="36"/>
      <c r="C27" s="36"/>
      <c r="D27" s="49"/>
      <c r="E27" s="35"/>
      <c r="F27" s="36"/>
      <c r="G27" s="36"/>
      <c r="H27" s="49"/>
      <c r="I27" s="35"/>
      <c r="J27" s="36"/>
      <c r="K27" s="36"/>
      <c r="L27" s="36"/>
      <c r="M27" s="49"/>
      <c r="N27" s="35"/>
      <c r="O27" s="36"/>
      <c r="P27" s="49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16.5" customHeight="1" spans="1:26">
      <c r="A28" s="60" t="s">
        <v>423</v>
      </c>
      <c r="B28" s="16"/>
      <c r="C28" s="16"/>
      <c r="D28" s="47"/>
      <c r="E28" s="67" t="s">
        <v>422</v>
      </c>
      <c r="F28" s="16"/>
      <c r="G28" s="16"/>
      <c r="H28" s="47"/>
      <c r="I28" s="60" t="s">
        <v>424</v>
      </c>
      <c r="J28" s="16"/>
      <c r="K28" s="16"/>
      <c r="L28" s="16"/>
      <c r="M28" s="47"/>
      <c r="N28" s="60" t="s">
        <v>413</v>
      </c>
      <c r="O28" s="16"/>
      <c r="P28" s="47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16.5" customHeight="1" spans="1:26">
      <c r="A29" s="33"/>
      <c r="D29" s="48"/>
      <c r="E29" s="33"/>
      <c r="H29" s="48"/>
      <c r="I29" s="33"/>
      <c r="M29" s="48"/>
      <c r="N29" s="33"/>
      <c r="P29" s="48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16.5" customHeight="1" spans="1:26">
      <c r="A30" s="35"/>
      <c r="B30" s="36"/>
      <c r="C30" s="36"/>
      <c r="D30" s="49"/>
      <c r="E30" s="35"/>
      <c r="F30" s="36"/>
      <c r="G30" s="36"/>
      <c r="H30" s="49"/>
      <c r="I30" s="35"/>
      <c r="J30" s="36"/>
      <c r="K30" s="36"/>
      <c r="L30" s="36"/>
      <c r="M30" s="49"/>
      <c r="N30" s="35"/>
      <c r="O30" s="36"/>
      <c r="P30" s="49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ht="16.5" customHeight="1" spans="1:26">
      <c r="A31" s="60" t="s">
        <v>425</v>
      </c>
      <c r="B31" s="16"/>
      <c r="C31" s="16"/>
      <c r="D31" s="47"/>
      <c r="E31" s="67" t="s">
        <v>426</v>
      </c>
      <c r="F31" s="16"/>
      <c r="G31" s="16"/>
      <c r="H31" s="47"/>
      <c r="I31" s="60" t="s">
        <v>424</v>
      </c>
      <c r="J31" s="16"/>
      <c r="K31" s="16"/>
      <c r="L31" s="16"/>
      <c r="M31" s="47"/>
      <c r="N31" s="60" t="s">
        <v>413</v>
      </c>
      <c r="O31" s="16"/>
      <c r="P31" s="47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16.5" customHeight="1" spans="1:26">
      <c r="A32" s="33"/>
      <c r="D32" s="48"/>
      <c r="E32" s="33"/>
      <c r="H32" s="48"/>
      <c r="I32" s="33"/>
      <c r="M32" s="48"/>
      <c r="N32" s="33"/>
      <c r="P32" s="48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16.5" customHeight="1" spans="1:26">
      <c r="A33" s="35"/>
      <c r="B33" s="36"/>
      <c r="C33" s="36"/>
      <c r="D33" s="49"/>
      <c r="E33" s="35"/>
      <c r="F33" s="36"/>
      <c r="G33" s="36"/>
      <c r="H33" s="49"/>
      <c r="I33" s="35"/>
      <c r="J33" s="36"/>
      <c r="K33" s="36"/>
      <c r="L33" s="36"/>
      <c r="M33" s="49"/>
      <c r="N33" s="35"/>
      <c r="O33" s="36"/>
      <c r="P33" s="49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16.5" customHeight="1" spans="1:26">
      <c r="A34" s="60" t="s">
        <v>427</v>
      </c>
      <c r="B34" s="16"/>
      <c r="C34" s="16"/>
      <c r="D34" s="47"/>
      <c r="E34" s="67" t="s">
        <v>428</v>
      </c>
      <c r="F34" s="16"/>
      <c r="G34" s="16"/>
      <c r="H34" s="47"/>
      <c r="I34" s="60" t="s">
        <v>429</v>
      </c>
      <c r="J34" s="16"/>
      <c r="K34" s="16"/>
      <c r="L34" s="16"/>
      <c r="M34" s="47"/>
      <c r="N34" s="60" t="s">
        <v>430</v>
      </c>
      <c r="O34" s="16"/>
      <c r="P34" s="47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16.5" customHeight="1" spans="1:26">
      <c r="A35" s="33"/>
      <c r="D35" s="48"/>
      <c r="E35" s="33"/>
      <c r="H35" s="48"/>
      <c r="I35" s="33"/>
      <c r="M35" s="48"/>
      <c r="N35" s="33"/>
      <c r="P35" s="48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16.5" customHeight="1" spans="1:26">
      <c r="A36" s="35"/>
      <c r="B36" s="36"/>
      <c r="C36" s="36"/>
      <c r="D36" s="49"/>
      <c r="E36" s="35"/>
      <c r="F36" s="36"/>
      <c r="G36" s="36"/>
      <c r="H36" s="49"/>
      <c r="I36" s="35"/>
      <c r="J36" s="36"/>
      <c r="K36" s="36"/>
      <c r="L36" s="36"/>
      <c r="M36" s="49"/>
      <c r="N36" s="35"/>
      <c r="O36" s="36"/>
      <c r="P36" s="49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ht="16.5" customHeight="1" spans="1:26">
      <c r="A37" s="60" t="s">
        <v>431</v>
      </c>
      <c r="B37" s="16"/>
      <c r="C37" s="16"/>
      <c r="D37" s="47"/>
      <c r="E37" s="60" t="s">
        <v>432</v>
      </c>
      <c r="F37" s="16"/>
      <c r="G37" s="16"/>
      <c r="H37" s="47"/>
      <c r="I37" s="60" t="s">
        <v>397</v>
      </c>
      <c r="J37" s="16"/>
      <c r="K37" s="16"/>
      <c r="L37" s="16"/>
      <c r="M37" s="47"/>
      <c r="N37" s="60" t="s">
        <v>433</v>
      </c>
      <c r="O37" s="16"/>
      <c r="P37" s="47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ht="16.5" customHeight="1" spans="1:26">
      <c r="A38" s="33"/>
      <c r="D38" s="48"/>
      <c r="E38" s="33"/>
      <c r="H38" s="48"/>
      <c r="I38" s="33"/>
      <c r="M38" s="48"/>
      <c r="N38" s="33"/>
      <c r="P38" s="48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ht="16.5" customHeight="1" spans="1:26">
      <c r="A39" s="35"/>
      <c r="B39" s="36"/>
      <c r="C39" s="36"/>
      <c r="D39" s="49"/>
      <c r="E39" s="35"/>
      <c r="F39" s="36"/>
      <c r="G39" s="36"/>
      <c r="H39" s="49"/>
      <c r="I39" s="35"/>
      <c r="J39" s="36"/>
      <c r="K39" s="36"/>
      <c r="L39" s="36"/>
      <c r="M39" s="49"/>
      <c r="N39" s="35"/>
      <c r="O39" s="36"/>
      <c r="P39" s="49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ht="16.5" customHeight="1" spans="1:26">
      <c r="A40" s="60" t="s">
        <v>434</v>
      </c>
      <c r="B40" s="16"/>
      <c r="C40" s="16"/>
      <c r="D40" s="47"/>
      <c r="E40" s="67" t="s">
        <v>435</v>
      </c>
      <c r="F40" s="16"/>
      <c r="G40" s="16"/>
      <c r="H40" s="47"/>
      <c r="I40" s="60" t="s">
        <v>397</v>
      </c>
      <c r="J40" s="16"/>
      <c r="K40" s="16"/>
      <c r="L40" s="16"/>
      <c r="M40" s="47"/>
      <c r="N40" s="60" t="s">
        <v>54</v>
      </c>
      <c r="O40" s="16"/>
      <c r="P40" s="47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ht="16.5" customHeight="1" spans="1:26">
      <c r="A41" s="33"/>
      <c r="D41" s="48"/>
      <c r="E41" s="33"/>
      <c r="H41" s="48"/>
      <c r="I41" s="33"/>
      <c r="M41" s="48"/>
      <c r="N41" s="33"/>
      <c r="P41" s="48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16.5" customHeight="1" spans="1:26">
      <c r="A42" s="35"/>
      <c r="B42" s="36"/>
      <c r="C42" s="36"/>
      <c r="D42" s="49"/>
      <c r="E42" s="35"/>
      <c r="F42" s="36"/>
      <c r="G42" s="36"/>
      <c r="H42" s="49"/>
      <c r="I42" s="35"/>
      <c r="J42" s="36"/>
      <c r="K42" s="36"/>
      <c r="L42" s="36"/>
      <c r="M42" s="49"/>
      <c r="N42" s="35"/>
      <c r="O42" s="36"/>
      <c r="P42" s="49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ht="16.5" customHeight="1" spans="1:26">
      <c r="A43" s="60" t="s">
        <v>436</v>
      </c>
      <c r="B43" s="16"/>
      <c r="C43" s="16"/>
      <c r="D43" s="47"/>
      <c r="E43" s="67" t="s">
        <v>437</v>
      </c>
      <c r="F43" s="16"/>
      <c r="G43" s="16"/>
      <c r="H43" s="47"/>
      <c r="I43" s="60" t="s">
        <v>438</v>
      </c>
      <c r="J43" s="16"/>
      <c r="K43" s="16"/>
      <c r="L43" s="16"/>
      <c r="M43" s="47"/>
      <c r="N43" s="60" t="s">
        <v>54</v>
      </c>
      <c r="O43" s="16"/>
      <c r="P43" s="47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ht="16.5" customHeight="1" spans="1:26">
      <c r="A44" s="33"/>
      <c r="D44" s="48"/>
      <c r="E44" s="33"/>
      <c r="H44" s="48"/>
      <c r="I44" s="33"/>
      <c r="M44" s="48"/>
      <c r="N44" s="33"/>
      <c r="P44" s="48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ht="16.5" customHeight="1" spans="1:26">
      <c r="A45" s="35"/>
      <c r="B45" s="36"/>
      <c r="C45" s="36"/>
      <c r="D45" s="49"/>
      <c r="E45" s="35"/>
      <c r="F45" s="36"/>
      <c r="G45" s="36"/>
      <c r="H45" s="49"/>
      <c r="I45" s="35"/>
      <c r="J45" s="36"/>
      <c r="K45" s="36"/>
      <c r="L45" s="36"/>
      <c r="M45" s="49"/>
      <c r="N45" s="35"/>
      <c r="O45" s="36"/>
      <c r="P45" s="49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52.5" customHeight="1" spans="1:26">
      <c r="A46" s="63" t="s">
        <v>439</v>
      </c>
      <c r="B46" s="2"/>
      <c r="C46" s="2"/>
      <c r="D46" s="22"/>
      <c r="E46" s="63" t="s">
        <v>440</v>
      </c>
      <c r="F46" s="2"/>
      <c r="G46" s="2"/>
      <c r="H46" s="22"/>
      <c r="I46" s="69"/>
      <c r="J46" s="2"/>
      <c r="K46" s="2"/>
      <c r="L46" s="2"/>
      <c r="M46" s="22"/>
      <c r="N46" s="69"/>
      <c r="O46" s="2"/>
      <c r="P46" s="22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48" customHeight="1" spans="1:26">
      <c r="A47" s="63" t="s">
        <v>441</v>
      </c>
      <c r="B47" s="2"/>
      <c r="C47" s="2"/>
      <c r="D47" s="22"/>
      <c r="E47" s="63" t="s">
        <v>442</v>
      </c>
      <c r="F47" s="2"/>
      <c r="G47" s="2"/>
      <c r="H47" s="22"/>
      <c r="I47" s="69"/>
      <c r="J47" s="2"/>
      <c r="K47" s="2"/>
      <c r="L47" s="2"/>
      <c r="M47" s="22"/>
      <c r="N47" s="69"/>
      <c r="O47" s="2"/>
      <c r="P47" s="22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57" customHeight="1" spans="1:26">
      <c r="A48" s="63" t="s">
        <v>443</v>
      </c>
      <c r="B48" s="2"/>
      <c r="C48" s="2"/>
      <c r="D48" s="22"/>
      <c r="E48" s="63" t="s">
        <v>444</v>
      </c>
      <c r="F48" s="2"/>
      <c r="G48" s="2"/>
      <c r="H48" s="22"/>
      <c r="I48" s="69"/>
      <c r="J48" s="2"/>
      <c r="K48" s="2"/>
      <c r="L48" s="2"/>
      <c r="M48" s="22"/>
      <c r="N48" s="69"/>
      <c r="O48" s="2"/>
      <c r="P48" s="22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16.5" customHeight="1" spans="1:26">
      <c r="A49" s="64" t="s">
        <v>445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47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ht="16.5" customHeight="1" spans="1:26">
      <c r="A50" s="33"/>
      <c r="P50" s="48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ht="16.5" customHeight="1" spans="1:26">
      <c r="A51" s="33"/>
      <c r="P51" s="48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16.5" customHeight="1" spans="1:26">
      <c r="A52" s="33"/>
      <c r="P52" s="48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ht="16.5" customHeight="1" spans="1:26">
      <c r="A53" s="33"/>
      <c r="P53" s="48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16.5" customHeight="1" spans="1:26">
      <c r="A54" s="35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49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ht="16.5" customHeight="1" spans="1:26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ht="16.5" customHeight="1" spans="1:26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ht="16.5" customHeight="1" spans="1:26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ht="16.5" customHeight="1" spans="1:26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ht="16.5" customHeight="1" spans="1:26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ht="16.5" customHeight="1" spans="1:26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ht="16.5" customHeight="1" spans="1:26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ht="16.5" customHeight="1" spans="1:26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ht="16.5" customHeight="1" spans="1:26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ht="16.5" customHeight="1" spans="1:26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ht="16.5" customHeight="1" spans="1:26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ht="16.5" customHeight="1" spans="1:26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ht="16.5" customHeight="1" spans="1:26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ht="16.5" customHeight="1" spans="1:26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ht="16.5" customHeight="1" spans="1:26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ht="16.5" customHeight="1" spans="1:26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ht="16.5" customHeight="1" spans="1:26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ht="16.5" customHeight="1" spans="1:26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ht="16.5" customHeight="1" spans="1:26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ht="16.5" customHeight="1" spans="1:26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ht="16.5" customHeight="1" spans="1:26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ht="16.5" customHeight="1" spans="1:2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ht="16.5" customHeight="1" spans="1:26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ht="16.5" customHeight="1" spans="1:26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ht="16.5" customHeight="1" spans="1:26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ht="16.5" customHeight="1" spans="1:26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ht="16.5" customHeight="1" spans="1:26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ht="16.5" customHeight="1" spans="1:26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ht="16.5" customHeight="1" spans="1:26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ht="16.5" customHeight="1" spans="1:26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ht="16.5" customHeight="1" spans="1:26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ht="16.5" customHeight="1" spans="1:26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ht="16.5" customHeight="1" spans="1:26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ht="16.5" customHeight="1" spans="1:26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ht="16.5" customHeight="1" spans="1:26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ht="16.5" customHeight="1" spans="1:26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ht="16.5" customHeight="1" spans="1:26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ht="16.5" customHeight="1" spans="1:26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ht="16.5" customHeight="1" spans="1:26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ht="16.5" customHeight="1" spans="1:26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ht="16.5" customHeight="1" spans="1:26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ht="16.5" customHeight="1" spans="1:26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ht="16.5" customHeight="1" spans="1:26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ht="16.5" customHeight="1" spans="1:26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ht="16.5" customHeight="1" spans="1:26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ht="16.5" customHeight="1" spans="1:26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ht="16.5" customHeight="1" spans="1:26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ht="16.5" customHeight="1" spans="1:26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ht="16.5" customHeight="1" spans="1:26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ht="16.5" customHeight="1" spans="1:26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ht="16.5" customHeight="1" spans="1:26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ht="16.5" customHeight="1" spans="1:26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ht="16.5" customHeight="1" spans="1:26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ht="16.5" customHeight="1" spans="1:26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ht="16.5" customHeight="1" spans="1:26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ht="16.5" customHeight="1" spans="1:26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ht="16.5" customHeight="1" spans="1:26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ht="16.5" customHeight="1" spans="1:26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ht="16.5" customHeight="1" spans="1:26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ht="16.5" customHeight="1" spans="1:26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ht="16.5" customHeight="1" spans="1:26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ht="16.5" customHeight="1" spans="1:2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ht="16.5" customHeight="1" spans="1:26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ht="16.5" customHeight="1" spans="1:26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ht="16.5" customHeight="1" spans="1:26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ht="16.5" customHeight="1" spans="1:26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ht="16.5" customHeight="1" spans="1:26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ht="16.5" customHeight="1" spans="1:26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ht="16.5" customHeight="1" spans="1:26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ht="16.5" customHeight="1" spans="1:26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ht="16.5" customHeight="1" spans="1:26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ht="16.5" customHeight="1" spans="1:2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ht="16.5" customHeight="1" spans="1:26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ht="16.5" customHeight="1" spans="1:26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ht="16.5" customHeight="1" spans="1:26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ht="16.5" customHeight="1" spans="1:26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ht="16.5" customHeight="1" spans="1:26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ht="16.5" customHeight="1" spans="1:26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ht="16.5" customHeight="1" spans="1:26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ht="16.5" customHeight="1" spans="1:26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ht="16.5" customHeight="1" spans="1:26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ht="16.5" customHeight="1" spans="1:26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ht="16.5" customHeight="1" spans="1:26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ht="16.5" customHeight="1" spans="1:26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ht="16.5" customHeight="1" spans="1:26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ht="16.5" customHeight="1" spans="1:26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ht="16.5" customHeight="1" spans="1:26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ht="16.5" customHeight="1" spans="1:26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ht="16.5" customHeight="1" spans="1:26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ht="16.5" customHeight="1" spans="1:26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ht="16.5" customHeight="1" spans="1:26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ht="16.5" customHeight="1" spans="1:26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ht="16.5" customHeight="1" spans="1:26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ht="16.5" customHeight="1" spans="1:26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ht="16.5" customHeight="1" spans="1:26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ht="16.5" customHeight="1" spans="1:26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ht="16.5" customHeight="1" spans="1:26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ht="16.5" customHeight="1" spans="1:26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ht="16.5" customHeight="1" spans="1:26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ht="16.5" customHeight="1" spans="1:26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ht="16.5" customHeight="1" spans="1:26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ht="16.5" customHeight="1" spans="1:26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ht="16.5" customHeight="1" spans="1:26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ht="16.5" customHeight="1" spans="1:26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ht="16.5" customHeight="1" spans="1:26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ht="16.5" customHeight="1" spans="1:26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ht="16.5" customHeight="1" spans="1:26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ht="16.5" customHeight="1" spans="1:26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ht="16.5" customHeight="1" spans="1:26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ht="16.5" customHeight="1" spans="1:26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ht="16.5" customHeight="1" spans="1:26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ht="16.5" customHeight="1" spans="1:26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ht="16.5" customHeight="1" spans="1:26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ht="16.5" customHeight="1" spans="1:26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ht="16.5" customHeight="1" spans="1:26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ht="16.5" customHeight="1" spans="1:26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ht="16.5" customHeight="1" spans="1:26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ht="16.5" customHeight="1" spans="1:26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ht="16.5" customHeight="1" spans="1:26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ht="16.5" customHeight="1" spans="1:26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ht="16.5" customHeight="1" spans="1:26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ht="16.5" customHeight="1" spans="1:26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ht="16.5" customHeight="1" spans="1:26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ht="16.5" customHeight="1" spans="1:26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ht="16.5" customHeight="1" spans="1:26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ht="16.5" customHeight="1" spans="1:26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ht="16.5" customHeight="1" spans="1:26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ht="16.5" customHeight="1" spans="1:26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ht="16.5" customHeight="1" spans="1:26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ht="16.5" customHeight="1" spans="1:26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ht="16.5" customHeight="1" spans="1:26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ht="16.5" customHeight="1" spans="1:26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ht="16.5" customHeight="1" spans="1:26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ht="16.5" customHeight="1" spans="1:26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ht="16.5" customHeight="1" spans="1:26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ht="16.5" customHeight="1" spans="1:26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ht="16.5" customHeight="1" spans="1:26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ht="16.5" customHeight="1" spans="1:26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ht="16.5" customHeight="1" spans="1:26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ht="16.5" customHeight="1" spans="1:26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ht="16.5" customHeight="1" spans="1:26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ht="16.5" customHeight="1" spans="1:26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ht="16.5" customHeight="1" spans="1:26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ht="16.5" customHeight="1" spans="1:26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ht="16.5" customHeight="1" spans="1:26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ht="16.5" customHeight="1" spans="1:26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ht="16.5" customHeight="1" spans="1:26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ht="16.5" customHeight="1" spans="1:26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ht="16.5" customHeight="1" spans="1:26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ht="16.5" customHeight="1" spans="1:26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ht="16.5" customHeight="1" spans="1:26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ht="16.5" customHeight="1" spans="1:26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ht="16.5" customHeight="1" spans="1:26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ht="16.5" customHeight="1" spans="1:26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ht="16.5" customHeight="1" spans="1:26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ht="16.5" customHeight="1" spans="1:26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ht="16.5" customHeight="1" spans="1:26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ht="16.5" customHeight="1" spans="1:26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ht="16.5" customHeight="1" spans="1:26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ht="16.5" customHeight="1" spans="1:26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ht="16.5" customHeight="1" spans="1:26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ht="16.5" customHeight="1" spans="1:26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ht="16.5" customHeight="1" spans="1:26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ht="16.5" customHeight="1" spans="1:26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ht="16.5" customHeight="1" spans="1:26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ht="16.5" customHeight="1" spans="1:26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ht="16.5" customHeight="1" spans="1:26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ht="16.5" customHeight="1" spans="1:26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ht="16.5" customHeight="1" spans="1:26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ht="16.5" customHeight="1" spans="1:26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ht="16.5" customHeight="1" spans="1:26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ht="16.5" customHeight="1" spans="1:26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ht="16.5" customHeight="1" spans="1:26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ht="16.5" customHeight="1" spans="1:26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ht="16.5" customHeight="1" spans="1:26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ht="16.5" customHeight="1" spans="1:26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ht="16.5" customHeight="1" spans="1:26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ht="16.5" customHeight="1" spans="1:26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ht="16.5" customHeight="1" spans="1:26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ht="16.5" customHeight="1" spans="1:26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ht="16.5" customHeight="1" spans="1:26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ht="16.5" customHeight="1" spans="1:26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ht="16.5" customHeight="1" spans="1:26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ht="16.5" customHeight="1" spans="1:26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ht="16.5" customHeight="1" spans="1:26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ht="16.5" customHeight="1" spans="1:26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ht="16.5" customHeight="1" spans="1:26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ht="16.5" customHeight="1" spans="1:26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ht="16.5" customHeight="1" spans="1:26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ht="16.5" customHeight="1" spans="1:26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ht="16.5" customHeight="1" spans="1:26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ht="16.5" customHeight="1" spans="1:26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ht="16.5" customHeight="1" spans="1:26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ht="16.5" customHeight="1" spans="1:26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ht="16.5" customHeight="1" spans="1:26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ht="16.5" customHeight="1" spans="1:26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ht="16.5" customHeight="1" spans="1:26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ht="16.5" customHeight="1" spans="1:26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ht="16.5" customHeight="1" spans="1:26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ht="16.5" customHeight="1" spans="1:26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ht="16.5" customHeight="1" spans="1:26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ht="16.5" customHeight="1" spans="1:26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ht="16.5" customHeight="1" spans="1:26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ht="16.5" customHeight="1" spans="1:26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ht="16.5" customHeight="1" spans="1:26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ht="16.5" customHeight="1" spans="1:26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ht="16.5" customHeight="1" spans="1:26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ht="16.5" customHeight="1" spans="1:26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ht="16.5" customHeight="1" spans="1:26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ht="16.5" customHeight="1" spans="1:26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ht="16.5" customHeight="1" spans="1:26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ht="16.5" customHeight="1" spans="1:26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ht="16.5" customHeight="1" spans="1:26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ht="16.5" customHeight="1" spans="1:26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ht="16.5" customHeight="1" spans="1:26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ht="16.5" customHeight="1" spans="1:26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ht="16.5" customHeight="1" spans="1:26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ht="16.5" customHeight="1" spans="1:26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ht="16.5" customHeight="1" spans="1:26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ht="16.5" customHeight="1" spans="1:26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ht="16.5" customHeight="1" spans="1:26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ht="16.5" customHeight="1" spans="1:26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ht="16.5" customHeight="1" spans="1:26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ht="16.5" customHeight="1" spans="1:26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ht="16.5" customHeight="1" spans="1:26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ht="16.5" customHeight="1" spans="1:26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ht="16.5" customHeight="1" spans="1:26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ht="16.5" customHeight="1" spans="1:26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ht="16.5" customHeight="1" spans="1:26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ht="16.5" customHeight="1" spans="1:26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ht="16.5" customHeight="1" spans="1:26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ht="16.5" customHeight="1" spans="1:26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ht="16.5" customHeight="1" spans="1:26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ht="16.5" customHeight="1" spans="1:26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ht="16.5" customHeight="1" spans="1:26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ht="16.5" customHeight="1" spans="1:26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ht="16.5" customHeight="1" spans="1:26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ht="16.5" customHeight="1" spans="1:26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ht="16.5" customHeight="1" spans="1:26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ht="16.5" customHeight="1" spans="1:26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ht="16.5" customHeight="1" spans="1:26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ht="16.5" customHeight="1" spans="1:26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ht="16.5" customHeight="1" spans="1:26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ht="16.5" customHeight="1" spans="1:26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ht="16.5" customHeight="1" spans="1:26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ht="16.5" customHeight="1" spans="1:26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ht="16.5" customHeight="1" spans="1:26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ht="16.5" customHeight="1" spans="1:26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ht="16.5" customHeight="1" spans="1:26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ht="16.5" customHeight="1" spans="1:26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ht="16.5" customHeight="1" spans="1:26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ht="16.5" customHeight="1" spans="1:26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ht="16.5" customHeight="1" spans="1:26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ht="16.5" customHeight="1" spans="1:26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ht="16.5" customHeight="1" spans="1:26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ht="16.5" customHeight="1" spans="1:26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ht="16.5" customHeight="1" spans="1:26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ht="16.5" customHeight="1" spans="1:26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ht="16.5" customHeight="1" spans="1:26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ht="16.5" customHeight="1" spans="1:26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ht="16.5" customHeight="1" spans="1:26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ht="16.5" customHeight="1" spans="1:26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ht="16.5" customHeight="1" spans="1:26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ht="16.5" customHeight="1" spans="1:26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ht="16.5" customHeight="1" spans="1:26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ht="16.5" customHeight="1" spans="1:26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ht="16.5" customHeight="1" spans="1:26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ht="16.5" customHeight="1" spans="1:26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ht="16.5" customHeight="1" spans="1:26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ht="16.5" customHeight="1" spans="1:26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ht="16.5" customHeight="1" spans="1:26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ht="16.5" customHeight="1" spans="1:26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ht="16.5" customHeight="1" spans="1:26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ht="16.5" customHeight="1" spans="1:26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ht="16.5" customHeight="1" spans="1:26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ht="16.5" customHeight="1" spans="1:26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ht="16.5" customHeight="1" spans="1:26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ht="16.5" customHeight="1" spans="1:26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ht="16.5" customHeight="1" spans="1:26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ht="16.5" customHeight="1" spans="1:26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ht="16.5" customHeight="1" spans="1:26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ht="16.5" customHeight="1" spans="1:26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ht="16.5" customHeight="1" spans="1:26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ht="16.5" customHeight="1" spans="1:26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ht="16.5" customHeight="1" spans="1:26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ht="16.5" customHeight="1" spans="1:26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ht="16.5" customHeight="1" spans="1:26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ht="16.5" customHeight="1" spans="1:26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ht="16.5" customHeight="1" spans="1:26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ht="16.5" customHeight="1" spans="1:26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ht="16.5" customHeight="1" spans="1:26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ht="16.5" customHeight="1" spans="1:26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ht="16.5" customHeight="1" spans="1:26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ht="16.5" customHeight="1" spans="1:26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ht="16.5" customHeight="1" spans="1:26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ht="16.5" customHeight="1" spans="1:26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ht="16.5" customHeight="1" spans="1:26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ht="16.5" customHeight="1" spans="1:26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ht="16.5" customHeight="1" spans="1:26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ht="16.5" customHeight="1" spans="1:26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ht="16.5" customHeight="1" spans="1:26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ht="16.5" customHeight="1" spans="1:26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ht="16.5" customHeight="1" spans="1:26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ht="16.5" customHeight="1" spans="1:26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ht="16.5" customHeight="1" spans="1:26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ht="16.5" customHeight="1" spans="1:26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ht="16.5" customHeight="1" spans="1:26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ht="16.5" customHeight="1" spans="1:26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ht="16.5" customHeight="1" spans="1:26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ht="16.5" customHeight="1" spans="1:26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ht="16.5" customHeight="1" spans="1:26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ht="16.5" customHeight="1" spans="1:26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ht="16.5" customHeight="1" spans="1:26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ht="16.5" customHeight="1" spans="1:26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ht="16.5" customHeight="1" spans="1:26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ht="16.5" customHeight="1" spans="1:26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ht="16.5" customHeight="1" spans="1:26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ht="16.5" customHeight="1" spans="1:26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ht="16.5" customHeight="1" spans="1:26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ht="16.5" customHeight="1" spans="1:26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ht="16.5" customHeight="1" spans="1:26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ht="16.5" customHeight="1" spans="1:26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ht="16.5" customHeight="1" spans="1:26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ht="16.5" customHeight="1" spans="1:26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ht="16.5" customHeight="1" spans="1:26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ht="16.5" customHeight="1" spans="1:26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ht="16.5" customHeight="1" spans="1:26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ht="16.5" customHeight="1" spans="1:26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ht="16.5" customHeight="1" spans="1:26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ht="16.5" customHeight="1" spans="1:26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ht="16.5" customHeight="1" spans="1:26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ht="16.5" customHeight="1" spans="1:26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ht="16.5" customHeight="1" spans="1:26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ht="16.5" customHeight="1" spans="1:26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ht="16.5" customHeight="1" spans="1:26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ht="16.5" customHeight="1" spans="1:26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ht="16.5" customHeight="1" spans="1:26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ht="16.5" customHeight="1" spans="1:26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ht="16.5" customHeight="1" spans="1:26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ht="16.5" customHeight="1" spans="1:26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ht="16.5" customHeight="1" spans="1:26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ht="16.5" customHeight="1" spans="1:26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ht="16.5" customHeight="1" spans="1:26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ht="16.5" customHeight="1" spans="1:26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ht="16.5" customHeight="1" spans="1:26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ht="16.5" customHeight="1" spans="1:26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ht="16.5" customHeight="1" spans="1:26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ht="16.5" customHeight="1" spans="1:26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ht="16.5" customHeight="1" spans="1:26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ht="16.5" customHeight="1" spans="1:26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ht="16.5" customHeight="1" spans="1:26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ht="16.5" customHeight="1" spans="1:26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ht="16.5" customHeight="1" spans="1:26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ht="16.5" customHeight="1" spans="1:26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ht="16.5" customHeight="1" spans="1:26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ht="16.5" customHeight="1" spans="1:26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ht="16.5" customHeight="1" spans="1:26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ht="16.5" customHeight="1" spans="1:26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ht="16.5" customHeight="1" spans="1:26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ht="16.5" customHeight="1" spans="1:26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ht="16.5" customHeight="1" spans="1:26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ht="16.5" customHeight="1" spans="1:26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ht="16.5" customHeight="1" spans="1:26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ht="16.5" customHeight="1" spans="1:26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ht="16.5" customHeight="1" spans="1:26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ht="16.5" customHeight="1" spans="1:26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ht="16.5" customHeight="1" spans="1:26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ht="16.5" customHeight="1" spans="1:26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ht="16.5" customHeight="1" spans="1:26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ht="16.5" customHeight="1" spans="1:26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ht="16.5" customHeight="1" spans="1:26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ht="16.5" customHeight="1" spans="1:26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ht="16.5" customHeight="1" spans="1:26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ht="16.5" customHeight="1" spans="1:26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ht="16.5" customHeight="1" spans="1:26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ht="16.5" customHeight="1" spans="1:26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ht="16.5" customHeight="1" spans="1:26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ht="16.5" customHeight="1" spans="1:26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ht="16.5" customHeight="1" spans="1:26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ht="16.5" customHeight="1" spans="1:26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ht="16.5" customHeight="1" spans="1:26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ht="16.5" customHeight="1" spans="1:26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ht="16.5" customHeight="1" spans="1:26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ht="16.5" customHeight="1" spans="1:26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ht="16.5" customHeight="1" spans="1:26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ht="16.5" customHeight="1" spans="1:26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ht="16.5" customHeight="1" spans="1:26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ht="16.5" customHeight="1" spans="1:26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ht="16.5" customHeight="1" spans="1:26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ht="16.5" customHeight="1" spans="1:26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ht="16.5" customHeight="1" spans="1:26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ht="16.5" customHeight="1" spans="1:26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ht="16.5" customHeight="1" spans="1:26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ht="16.5" customHeight="1" spans="1:26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ht="16.5" customHeight="1" spans="1:26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ht="16.5" customHeight="1" spans="1:26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ht="16.5" customHeight="1" spans="1:26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ht="16.5" customHeight="1" spans="1:26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ht="16.5" customHeight="1" spans="1:26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ht="16.5" customHeight="1" spans="1:26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ht="16.5" customHeight="1" spans="1:26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ht="16.5" customHeight="1" spans="1:26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ht="16.5" customHeight="1" spans="1:26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ht="16.5" customHeight="1" spans="1:26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ht="16.5" customHeight="1" spans="1:26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ht="16.5" customHeight="1" spans="1:26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ht="16.5" customHeight="1" spans="1:26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ht="16.5" customHeight="1" spans="1:26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ht="16.5" customHeight="1" spans="1:26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ht="16.5" customHeight="1" spans="1:26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ht="16.5" customHeight="1" spans="1:26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ht="16.5" customHeight="1" spans="1:26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ht="16.5" customHeight="1" spans="1:26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ht="16.5" customHeight="1" spans="1:26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ht="16.5" customHeight="1" spans="1:26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ht="16.5" customHeight="1" spans="1:26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ht="16.5" customHeight="1" spans="1:26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ht="16.5" customHeight="1" spans="1:26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ht="16.5" customHeight="1" spans="1:26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ht="16.5" customHeight="1" spans="1:26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ht="16.5" customHeight="1" spans="1:26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ht="16.5" customHeight="1" spans="1:26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ht="16.5" customHeight="1" spans="1:26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ht="16.5" customHeight="1" spans="1:26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ht="16.5" customHeight="1" spans="1:26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ht="16.5" customHeight="1" spans="1:26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ht="16.5" customHeight="1" spans="1:26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ht="16.5" customHeight="1" spans="1:26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ht="16.5" customHeight="1" spans="1:26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ht="16.5" customHeight="1" spans="1:26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ht="16.5" customHeight="1" spans="1:26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ht="16.5" customHeight="1" spans="1:26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ht="16.5" customHeight="1" spans="1:26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ht="16.5" customHeight="1" spans="1:26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ht="16.5" customHeight="1" spans="1:26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ht="16.5" customHeight="1" spans="1:26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ht="16.5" customHeight="1" spans="1:26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ht="16.5" customHeight="1" spans="1:26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ht="16.5" customHeight="1" spans="1:26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ht="16.5" customHeight="1" spans="1:26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ht="16.5" customHeight="1" spans="1:26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ht="16.5" customHeight="1" spans="1:26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ht="16.5" customHeight="1" spans="1:26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ht="16.5" customHeight="1" spans="1:26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ht="16.5" customHeight="1" spans="1:26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ht="16.5" customHeight="1" spans="1:26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ht="16.5" customHeight="1" spans="1:26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ht="16.5" customHeight="1" spans="1:26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ht="16.5" customHeight="1" spans="1:26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ht="16.5" customHeight="1" spans="1:26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ht="16.5" customHeight="1" spans="1:26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ht="16.5" customHeight="1" spans="1:2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ht="16.5" customHeight="1" spans="1:26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ht="16.5" customHeight="1" spans="1:26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ht="16.5" customHeight="1" spans="1:26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ht="16.5" customHeight="1" spans="1:26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ht="16.5" customHeight="1" spans="1:26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ht="16.5" customHeight="1" spans="1:26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ht="16.5" customHeight="1" spans="1:26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ht="16.5" customHeight="1" spans="1:26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ht="16.5" customHeight="1" spans="1:26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ht="16.5" customHeight="1" spans="1:2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ht="16.5" customHeight="1" spans="1:26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ht="16.5" customHeight="1" spans="1:26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ht="16.5" customHeight="1" spans="1:26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ht="16.5" customHeight="1" spans="1:26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ht="16.5" customHeight="1" spans="1:26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ht="16.5" customHeight="1" spans="1:26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ht="16.5" customHeight="1" spans="1:26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ht="16.5" customHeight="1" spans="1:26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ht="16.5" customHeight="1" spans="1:26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ht="16.5" customHeight="1" spans="1: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ht="16.5" customHeight="1" spans="1:26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ht="16.5" customHeight="1" spans="1:26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ht="16.5" customHeight="1" spans="1:26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ht="16.5" customHeight="1" spans="1:26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ht="16.5" customHeight="1" spans="1:26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ht="16.5" customHeight="1" spans="1:26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ht="16.5" customHeight="1" spans="1:26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ht="16.5" customHeight="1" spans="1:26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ht="16.5" customHeight="1" spans="1:26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ht="16.5" customHeight="1" spans="1:2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ht="16.5" customHeight="1" spans="1:26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ht="16.5" customHeight="1" spans="1:26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ht="16.5" customHeight="1" spans="1:26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ht="16.5" customHeight="1" spans="1:26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ht="16.5" customHeight="1" spans="1:26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ht="16.5" customHeight="1" spans="1:26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ht="16.5" customHeight="1" spans="1:26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ht="16.5" customHeight="1" spans="1:26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ht="16.5" customHeight="1" spans="1:26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ht="16.5" customHeight="1" spans="1:2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ht="16.5" customHeight="1" spans="1:26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ht="16.5" customHeight="1" spans="1:26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ht="16.5" customHeight="1" spans="1:26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ht="16.5" customHeight="1" spans="1:26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ht="16.5" customHeight="1" spans="1:26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ht="16.5" customHeight="1" spans="1:26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ht="16.5" customHeight="1" spans="1:26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ht="16.5" customHeight="1" spans="1:26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ht="16.5" customHeight="1" spans="1:26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ht="16.5" customHeight="1" spans="1:2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ht="16.5" customHeight="1" spans="1:26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ht="16.5" customHeight="1" spans="1:26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ht="16.5" customHeight="1" spans="1:26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ht="16.5" customHeight="1" spans="1:26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ht="16.5" customHeight="1" spans="1:26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ht="16.5" customHeight="1" spans="1:26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ht="16.5" customHeight="1" spans="1:26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ht="16.5" customHeight="1" spans="1:26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ht="16.5" customHeight="1" spans="1:26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ht="16.5" customHeight="1" spans="1:2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ht="16.5" customHeight="1" spans="1:26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ht="16.5" customHeight="1" spans="1:26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ht="16.5" customHeight="1" spans="1:26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ht="16.5" customHeight="1" spans="1:26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ht="16.5" customHeight="1" spans="1:26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ht="16.5" customHeight="1" spans="1:26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ht="16.5" customHeight="1" spans="1:26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ht="16.5" customHeight="1" spans="1:26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ht="16.5" customHeight="1" spans="1:26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ht="16.5" customHeight="1" spans="1:2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ht="16.5" customHeight="1" spans="1:26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ht="16.5" customHeight="1" spans="1:26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ht="16.5" customHeight="1" spans="1:26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ht="16.5" customHeight="1" spans="1:26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ht="16.5" customHeight="1" spans="1:26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ht="16.5" customHeight="1" spans="1:26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ht="16.5" customHeight="1" spans="1:26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ht="16.5" customHeight="1" spans="1:26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ht="16.5" customHeight="1" spans="1:26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ht="16.5" customHeight="1" spans="1:2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ht="16.5" customHeight="1" spans="1:26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ht="16.5" customHeight="1" spans="1:26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ht="16.5" customHeight="1" spans="1:26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ht="16.5" customHeight="1" spans="1:26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ht="16.5" customHeight="1" spans="1:26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ht="16.5" customHeight="1" spans="1:26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ht="16.5" customHeight="1" spans="1:26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ht="16.5" customHeight="1" spans="1:26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ht="16.5" customHeight="1" spans="1:26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ht="16.5" customHeight="1" spans="1:2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ht="16.5" customHeight="1" spans="1:26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ht="16.5" customHeight="1" spans="1:26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ht="16.5" customHeight="1" spans="1:26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ht="16.5" customHeight="1" spans="1:26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ht="16.5" customHeight="1" spans="1:26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ht="16.5" customHeight="1" spans="1:26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ht="16.5" customHeight="1" spans="1:26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ht="16.5" customHeight="1" spans="1:26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ht="16.5" customHeight="1" spans="1:26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ht="16.5" customHeight="1" spans="1:2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ht="16.5" customHeight="1" spans="1:26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ht="16.5" customHeight="1" spans="1:26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ht="16.5" customHeight="1" spans="1:26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ht="16.5" customHeight="1" spans="1:26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ht="16.5" customHeight="1" spans="1:26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ht="16.5" customHeight="1" spans="1:26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ht="16.5" customHeight="1" spans="1:26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ht="16.5" customHeight="1" spans="1:26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ht="16.5" customHeight="1" spans="1:26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ht="16.5" customHeight="1" spans="1:2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ht="16.5" customHeight="1" spans="1:26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ht="16.5" customHeight="1" spans="1:26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ht="16.5" customHeight="1" spans="1:26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ht="16.5" customHeight="1" spans="1:26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ht="16.5" customHeight="1" spans="1:26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ht="16.5" customHeight="1" spans="1:26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ht="16.5" customHeight="1" spans="1:26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ht="16.5" customHeight="1" spans="1:26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ht="16.5" customHeight="1" spans="1:26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ht="16.5" customHeight="1" spans="1: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ht="16.5" customHeight="1" spans="1:26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ht="16.5" customHeight="1" spans="1:26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ht="16.5" customHeight="1" spans="1:26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ht="16.5" customHeight="1" spans="1:26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ht="16.5" customHeight="1" spans="1:26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ht="16.5" customHeight="1" spans="1:26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ht="16.5" customHeight="1" spans="1:26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ht="16.5" customHeight="1" spans="1:26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ht="16.5" customHeight="1" spans="1:26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ht="16.5" customHeight="1" spans="1:2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ht="16.5" customHeight="1" spans="1:26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ht="16.5" customHeight="1" spans="1:26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ht="16.5" customHeight="1" spans="1:26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ht="16.5" customHeight="1" spans="1:26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ht="16.5" customHeight="1" spans="1:26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ht="16.5" customHeight="1" spans="1:26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ht="16.5" customHeight="1" spans="1:26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ht="16.5" customHeight="1" spans="1:26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ht="16.5" customHeight="1" spans="1:26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ht="16.5" customHeight="1" spans="1:2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ht="16.5" customHeight="1" spans="1:26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ht="16.5" customHeight="1" spans="1:26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ht="16.5" customHeight="1" spans="1:26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ht="16.5" customHeight="1" spans="1:26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ht="16.5" customHeight="1" spans="1:26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ht="16.5" customHeight="1" spans="1:26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ht="16.5" customHeight="1" spans="1:26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ht="16.5" customHeight="1" spans="1:26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ht="16.5" customHeight="1" spans="1:26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ht="16.5" customHeight="1" spans="1:2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ht="16.5" customHeight="1" spans="1:26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ht="16.5" customHeight="1" spans="1:26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ht="16.5" customHeight="1" spans="1:26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ht="16.5" customHeight="1" spans="1:26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ht="16.5" customHeight="1" spans="1:26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ht="16.5" customHeight="1" spans="1:26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ht="16.5" customHeight="1" spans="1:26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ht="16.5" customHeight="1" spans="1:26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ht="16.5" customHeight="1" spans="1:26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ht="16.5" customHeight="1" spans="1:2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ht="16.5" customHeight="1" spans="1:26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ht="16.5" customHeight="1" spans="1:26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ht="16.5" customHeight="1" spans="1:26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ht="16.5" customHeight="1" spans="1:26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ht="16.5" customHeight="1" spans="1:26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ht="16.5" customHeight="1" spans="1:26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ht="16.5" customHeight="1" spans="1:26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ht="16.5" customHeight="1" spans="1:26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ht="16.5" customHeight="1" spans="1:26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ht="16.5" customHeight="1" spans="1:2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ht="16.5" customHeight="1" spans="1:26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ht="16.5" customHeight="1" spans="1:26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ht="16.5" customHeight="1" spans="1:26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ht="16.5" customHeight="1" spans="1:26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ht="16.5" customHeight="1" spans="1:26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ht="16.5" customHeight="1" spans="1:26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ht="16.5" customHeight="1" spans="1:26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ht="16.5" customHeight="1" spans="1:26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ht="16.5" customHeight="1" spans="1:26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ht="16.5" customHeight="1" spans="1:2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ht="16.5" customHeight="1" spans="1:26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ht="16.5" customHeight="1" spans="1:26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ht="16.5" customHeight="1" spans="1:26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ht="16.5" customHeight="1" spans="1:26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ht="16.5" customHeight="1" spans="1:26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ht="16.5" customHeight="1" spans="1:26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ht="16.5" customHeight="1" spans="1:26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ht="16.5" customHeight="1" spans="1:26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ht="16.5" customHeight="1" spans="1:26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ht="16.5" customHeight="1" spans="1:2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ht="16.5" customHeight="1" spans="1:26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ht="16.5" customHeight="1" spans="1:26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ht="16.5" customHeight="1" spans="1:26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ht="16.5" customHeight="1" spans="1:26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ht="16.5" customHeight="1" spans="1:26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ht="16.5" customHeight="1" spans="1:26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ht="16.5" customHeight="1" spans="1:26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ht="16.5" customHeight="1" spans="1:26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ht="16.5" customHeight="1" spans="1:26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ht="16.5" customHeight="1" spans="1:2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ht="16.5" customHeight="1" spans="1:26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ht="16.5" customHeight="1" spans="1:26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ht="16.5" customHeight="1" spans="1:26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ht="16.5" customHeight="1" spans="1:26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ht="16.5" customHeight="1" spans="1:26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ht="16.5" customHeight="1" spans="1:26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ht="16.5" customHeight="1" spans="1:26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ht="16.5" customHeight="1" spans="1:26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ht="16.5" customHeight="1" spans="1:26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ht="16.5" customHeight="1" spans="1:2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ht="16.5" customHeight="1" spans="1:26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ht="16.5" customHeight="1" spans="1:26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ht="16.5" customHeight="1" spans="1:26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ht="16.5" customHeight="1" spans="1:26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ht="16.5" customHeight="1" spans="1:26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ht="16.5" customHeight="1" spans="1:26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ht="16.5" customHeight="1" spans="1:26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ht="16.5" customHeight="1" spans="1:26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ht="16.5" customHeight="1" spans="1:26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ht="16.5" customHeight="1" spans="1: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ht="16.5" customHeight="1" spans="1:26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ht="16.5" customHeight="1" spans="1:26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ht="16.5" customHeight="1" spans="1:26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ht="16.5" customHeight="1" spans="1:26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ht="16.5" customHeight="1" spans="1:26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ht="16.5" customHeight="1" spans="1:26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ht="16.5" customHeight="1" spans="1:26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ht="16.5" customHeight="1" spans="1:26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ht="16.5" customHeight="1" spans="1:26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ht="16.5" customHeight="1" spans="1:2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ht="16.5" customHeight="1" spans="1:26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ht="16.5" customHeight="1" spans="1:26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ht="16.5" customHeight="1" spans="1:26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ht="16.5" customHeight="1" spans="1:26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ht="16.5" customHeight="1" spans="1:26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ht="16.5" customHeight="1" spans="1:26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ht="16.5" customHeight="1" spans="1:26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ht="16.5" customHeight="1" spans="1:26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ht="16.5" customHeight="1" spans="1:26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ht="16.5" customHeight="1" spans="1:2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ht="16.5" customHeight="1" spans="1:26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ht="16.5" customHeight="1" spans="1:26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ht="16.5" customHeight="1" spans="1:26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ht="16.5" customHeight="1" spans="1:26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ht="16.5" customHeight="1" spans="1:26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ht="16.5" customHeight="1" spans="1:26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ht="16.5" customHeight="1" spans="1:26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ht="16.5" customHeight="1" spans="1:26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ht="16.5" customHeight="1" spans="1:26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ht="16.5" customHeight="1" spans="1:2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ht="16.5" customHeight="1" spans="1:26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ht="16.5" customHeight="1" spans="1:26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ht="16.5" customHeight="1" spans="1:26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ht="16.5" customHeight="1" spans="1:26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ht="16.5" customHeight="1" spans="1:26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ht="16.5" customHeight="1" spans="1:26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ht="16.5" customHeight="1" spans="1:26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ht="16.5" customHeight="1" spans="1:26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ht="16.5" customHeight="1" spans="1:26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ht="16.5" customHeight="1" spans="1:2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ht="16.5" customHeight="1" spans="1:26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ht="16.5" customHeight="1" spans="1:26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ht="16.5" customHeight="1" spans="1:26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ht="16.5" customHeight="1" spans="1:26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ht="16.5" customHeight="1" spans="1:26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ht="16.5" customHeight="1" spans="1:26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ht="16.5" customHeight="1" spans="1:26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ht="16.5" customHeight="1" spans="1:26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ht="16.5" customHeight="1" spans="1:26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ht="16.5" customHeight="1" spans="1:2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ht="16.5" customHeight="1" spans="1:26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ht="16.5" customHeight="1" spans="1:26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ht="16.5" customHeight="1" spans="1:26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ht="16.5" customHeight="1" spans="1:26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ht="16.5" customHeight="1" spans="1:26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ht="16.5" customHeight="1" spans="1:26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ht="16.5" customHeight="1" spans="1:26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ht="16.5" customHeight="1" spans="1:26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ht="16.5" customHeight="1" spans="1:26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ht="16.5" customHeight="1" spans="1:2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ht="16.5" customHeight="1" spans="1:26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ht="16.5" customHeight="1" spans="1:26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ht="16.5" customHeight="1" spans="1:26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ht="16.5" customHeight="1" spans="1:26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ht="16.5" customHeight="1" spans="1:26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ht="16.5" customHeight="1" spans="1:26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ht="16.5" customHeight="1" spans="1:26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ht="16.5" customHeight="1" spans="1:26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ht="16.5" customHeight="1" spans="1:26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ht="16.5" customHeight="1" spans="1:2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ht="16.5" customHeight="1" spans="1:26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ht="16.5" customHeight="1" spans="1:26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ht="16.5" customHeight="1" spans="1:26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ht="16.5" customHeight="1" spans="1:26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ht="16.5" customHeight="1" spans="1:26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ht="16.5" customHeight="1" spans="1:26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ht="16.5" customHeight="1" spans="1:26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ht="16.5" customHeight="1" spans="1:26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ht="16.5" customHeight="1" spans="1:26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ht="16.5" customHeight="1" spans="1:2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ht="16.5" customHeight="1" spans="1:26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ht="16.5" customHeight="1" spans="1:26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ht="16.5" customHeight="1" spans="1:26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ht="16.5" customHeight="1" spans="1:26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ht="16.5" customHeight="1" spans="1:26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ht="16.5" customHeight="1" spans="1:26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ht="16.5" customHeight="1" spans="1:26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ht="16.5" customHeight="1" spans="1:26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ht="16.5" customHeight="1" spans="1:26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ht="16.5" customHeight="1" spans="1:2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ht="16.5" customHeight="1" spans="1:26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ht="16.5" customHeight="1" spans="1:26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ht="16.5" customHeight="1" spans="1:26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ht="16.5" customHeight="1" spans="1:26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ht="16.5" customHeight="1" spans="1:26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ht="16.5" customHeight="1" spans="1:26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ht="16.5" customHeight="1" spans="1:26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ht="16.5" customHeight="1" spans="1:26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ht="16.5" customHeight="1" spans="1:26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ht="16.5" customHeight="1" spans="1: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ht="16.5" customHeight="1" spans="1:26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ht="16.5" customHeight="1" spans="1:26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ht="16.5" customHeight="1" spans="1:26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ht="16.5" customHeight="1" spans="1:26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ht="16.5" customHeight="1" spans="1:26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ht="16.5" customHeight="1" spans="1:26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ht="16.5" customHeight="1" spans="1:26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ht="16.5" customHeight="1" spans="1:26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ht="16.5" customHeight="1" spans="1:26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ht="16.5" customHeight="1" spans="1:2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ht="16.5" customHeight="1" spans="1:26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ht="16.5" customHeight="1" spans="1:26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ht="16.5" customHeight="1" spans="1:26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ht="16.5" customHeight="1" spans="1:26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ht="16.5" customHeight="1" spans="1:26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ht="16.5" customHeight="1" spans="1:26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ht="16.5" customHeight="1" spans="1:26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ht="16.5" customHeight="1" spans="1:26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ht="16.5" customHeight="1" spans="1:26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ht="16.5" customHeight="1" spans="1:2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ht="16.5" customHeight="1" spans="1:26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ht="16.5" customHeight="1" spans="1:26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ht="16.5" customHeight="1" spans="1:26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ht="16.5" customHeight="1" spans="1:26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ht="16.5" customHeight="1" spans="1:26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ht="16.5" customHeight="1" spans="1:26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ht="16.5" customHeight="1" spans="1:26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ht="16.5" customHeight="1" spans="1:26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ht="16.5" customHeight="1" spans="1:26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ht="16.5" customHeight="1" spans="1:2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ht="16.5" customHeight="1" spans="1:26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ht="16.5" customHeight="1" spans="1:26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ht="16.5" customHeight="1" spans="1:26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ht="16.5" customHeight="1" spans="1:26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ht="16.5" customHeight="1" spans="1:26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ht="16.5" customHeight="1" spans="1:26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ht="16.5" customHeight="1" spans="1:26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ht="16.5" customHeight="1" spans="1:26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ht="16.5" customHeight="1" spans="1:26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ht="16.5" customHeight="1" spans="1:2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ht="16.5" customHeight="1" spans="1:26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ht="16.5" customHeight="1" spans="1:26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ht="16.5" customHeight="1" spans="1:26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ht="16.5" customHeight="1" spans="1:26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ht="16.5" customHeight="1" spans="1:26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ht="16.5" customHeight="1" spans="1:26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ht="16.5" customHeight="1" spans="1:26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ht="16.5" customHeight="1" spans="1:26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ht="16.5" customHeight="1" spans="1:26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ht="16.5" customHeight="1" spans="1:2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ht="16.5" customHeight="1" spans="1:26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ht="16.5" customHeight="1" spans="1:26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ht="16.5" customHeight="1" spans="1:26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ht="16.5" customHeight="1" spans="1:26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ht="16.5" customHeight="1" spans="1:26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ht="16.5" customHeight="1" spans="1:26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ht="16.5" customHeight="1" spans="1:26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ht="16.5" customHeight="1" spans="1:26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ht="16.5" customHeight="1" spans="1:26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ht="16.5" customHeight="1" spans="1:2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ht="16.5" customHeight="1" spans="1:26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ht="16.5" customHeight="1" spans="1:26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ht="16.5" customHeight="1" spans="1:26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ht="16.5" customHeight="1" spans="1:26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ht="16.5" customHeight="1" spans="1:26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ht="16.5" customHeight="1" spans="1:26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ht="16.5" customHeight="1" spans="1:26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ht="16.5" customHeight="1" spans="1:26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ht="16.5" customHeight="1" spans="1:26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ht="16.5" customHeight="1" spans="1:2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ht="16.5" customHeight="1" spans="1:26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ht="16.5" customHeight="1" spans="1:26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ht="16.5" customHeight="1" spans="1:26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ht="16.5" customHeight="1" spans="1:26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ht="16.5" customHeight="1" spans="1:26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ht="16.5" customHeight="1" spans="1:26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ht="16.5" customHeight="1" spans="1:26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ht="16.5" customHeight="1" spans="1:26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ht="16.5" customHeight="1" spans="1:26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ht="16.5" customHeight="1" spans="1:2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ht="16.5" customHeight="1" spans="1:26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ht="16.5" customHeight="1" spans="1:26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ht="16.5" customHeight="1" spans="1:26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ht="16.5" customHeight="1" spans="1:26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ht="16.5" customHeight="1" spans="1:26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ht="16.5" customHeight="1" spans="1:26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ht="16.5" customHeight="1" spans="1:26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ht="16.5" customHeight="1" spans="1:26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ht="16.5" customHeight="1" spans="1:26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ht="16.5" customHeight="1" spans="1:2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ht="16.5" customHeight="1" spans="1:26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ht="16.5" customHeight="1" spans="1:26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ht="16.5" customHeight="1" spans="1:26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ht="16.5" customHeight="1" spans="1:26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ht="16.5" customHeight="1" spans="1:26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ht="16.5" customHeight="1" spans="1:26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ht="16.5" customHeight="1" spans="1:26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ht="16.5" customHeight="1" spans="1:26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ht="16.5" customHeight="1" spans="1:26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ht="16.5" customHeight="1" spans="1: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ht="16.5" customHeight="1" spans="1:26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ht="16.5" customHeight="1" spans="1:26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ht="16.5" customHeight="1" spans="1:26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ht="16.5" customHeight="1" spans="1:26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ht="16.5" customHeight="1" spans="1:26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ht="16.5" customHeight="1" spans="1:26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ht="16.5" customHeight="1" spans="1:26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ht="16.5" customHeight="1" spans="1:26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ht="16.5" customHeight="1" spans="1:26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ht="16.5" customHeight="1" spans="1:2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ht="16.5" customHeight="1" spans="1:26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ht="16.5" customHeight="1" spans="1:26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ht="16.5" customHeight="1" spans="1:26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ht="16.5" customHeight="1" spans="1:26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ht="16.5" customHeight="1" spans="1:26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ht="16.5" customHeight="1" spans="1:26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ht="16.5" customHeight="1" spans="1:26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ht="16.5" customHeight="1" spans="1:26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ht="16.5" customHeight="1" spans="1:26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ht="16.5" customHeight="1" spans="1:2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ht="16.5" customHeight="1" spans="1:26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ht="16.5" customHeight="1" spans="1:26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ht="16.5" customHeight="1" spans="1:26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ht="16.5" customHeight="1" spans="1:26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ht="16.5" customHeight="1" spans="1:26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ht="16.5" customHeight="1" spans="1:26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ht="16.5" customHeight="1" spans="1:26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ht="16.5" customHeight="1" spans="1:26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ht="16.5" customHeight="1" spans="1:26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ht="16.5" customHeight="1" spans="1:2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ht="16.5" customHeight="1" spans="1:26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ht="16.5" customHeight="1" spans="1:26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ht="16.5" customHeight="1" spans="1:26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ht="16.5" customHeight="1" spans="1:26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ht="16.5" customHeight="1" spans="1:26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ht="16.5" customHeight="1" spans="1:26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ht="16.5" customHeight="1" spans="1:26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ht="16.5" customHeight="1" spans="1:26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ht="16.5" customHeight="1" spans="1:26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ht="16.5" customHeight="1" spans="1:2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ht="16.5" customHeight="1" spans="1:26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ht="16.5" customHeight="1" spans="1:26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ht="16.5" customHeight="1" spans="1:26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ht="16.5" customHeight="1" spans="1:26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ht="16.5" customHeight="1" spans="1:26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ht="16.5" customHeight="1" spans="1:26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ht="16.5" customHeight="1" spans="1:26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ht="16.5" customHeight="1" spans="1:26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ht="16.5" customHeight="1" spans="1:26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ht="16.5" customHeight="1" spans="1:2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ht="16.5" customHeight="1" spans="1:26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ht="16.5" customHeight="1" spans="1:26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ht="16.5" customHeight="1" spans="1:26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ht="16.5" customHeight="1" spans="1:26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ht="16.5" customHeight="1" spans="1:26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ht="16.5" customHeight="1" spans="1:26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ht="16.5" customHeight="1" spans="1:26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ht="16.5" customHeight="1" spans="1:26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ht="16.5" customHeight="1" spans="1:26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ht="16.5" customHeight="1" spans="1:2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ht="16.5" customHeight="1" spans="1:26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ht="16.5" customHeight="1" spans="1:26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ht="16.5" customHeight="1" spans="1:26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ht="16.5" customHeight="1" spans="1:26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ht="16.5" customHeight="1" spans="1:26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ht="16.5" customHeight="1" spans="1:26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ht="16.5" customHeight="1" spans="1:26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ht="16.5" customHeight="1" spans="1:26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ht="16.5" customHeight="1" spans="1:26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ht="16.5" customHeight="1" spans="1:26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ht="16.5" customHeight="1" spans="1:26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ht="16.5" customHeight="1" spans="1:26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ht="16.5" customHeight="1" spans="1:26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ht="16.5" customHeight="1" spans="1:26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mergeCells count="84">
    <mergeCell ref="A5:P5"/>
    <mergeCell ref="A6:D6"/>
    <mergeCell ref="E6:H6"/>
    <mergeCell ref="I6:M6"/>
    <mergeCell ref="N6:P6"/>
    <mergeCell ref="A7:D7"/>
    <mergeCell ref="E7:H7"/>
    <mergeCell ref="I7:M7"/>
    <mergeCell ref="N7:P7"/>
    <mergeCell ref="A11:D11"/>
    <mergeCell ref="E11:H11"/>
    <mergeCell ref="I11:M11"/>
    <mergeCell ref="N11:P11"/>
    <mergeCell ref="A12:D12"/>
    <mergeCell ref="E12:H12"/>
    <mergeCell ref="I12:M12"/>
    <mergeCell ref="N12:P12"/>
    <mergeCell ref="A13:D13"/>
    <mergeCell ref="E13:H13"/>
    <mergeCell ref="I13:M13"/>
    <mergeCell ref="N13:P13"/>
    <mergeCell ref="A14:D14"/>
    <mergeCell ref="E14:H14"/>
    <mergeCell ref="I14:M14"/>
    <mergeCell ref="N14:P14"/>
    <mergeCell ref="A15:P15"/>
    <mergeCell ref="A46:D46"/>
    <mergeCell ref="E46:H46"/>
    <mergeCell ref="I46:M46"/>
    <mergeCell ref="N46:P46"/>
    <mergeCell ref="A47:D47"/>
    <mergeCell ref="E47:H47"/>
    <mergeCell ref="I47:M47"/>
    <mergeCell ref="N47:P47"/>
    <mergeCell ref="A48:D48"/>
    <mergeCell ref="E48:H48"/>
    <mergeCell ref="I48:M48"/>
    <mergeCell ref="N48:P48"/>
    <mergeCell ref="A16:D18"/>
    <mergeCell ref="E16:H18"/>
    <mergeCell ref="I16:M18"/>
    <mergeCell ref="N16:P18"/>
    <mergeCell ref="A19:D21"/>
    <mergeCell ref="E19:H21"/>
    <mergeCell ref="I19:M21"/>
    <mergeCell ref="N19:P21"/>
    <mergeCell ref="A22:D24"/>
    <mergeCell ref="E22:H24"/>
    <mergeCell ref="I22:M24"/>
    <mergeCell ref="N22:P24"/>
    <mergeCell ref="A25:D27"/>
    <mergeCell ref="E25:H27"/>
    <mergeCell ref="A28:D30"/>
    <mergeCell ref="E28:H30"/>
    <mergeCell ref="I28:M30"/>
    <mergeCell ref="N28:P30"/>
    <mergeCell ref="A31:D33"/>
    <mergeCell ref="E31:H33"/>
    <mergeCell ref="I31:M33"/>
    <mergeCell ref="N31:P33"/>
    <mergeCell ref="A34:D36"/>
    <mergeCell ref="E34:H36"/>
    <mergeCell ref="I34:M36"/>
    <mergeCell ref="N34:P36"/>
    <mergeCell ref="A37:D39"/>
    <mergeCell ref="E37:H39"/>
    <mergeCell ref="A43:D45"/>
    <mergeCell ref="E43:H45"/>
    <mergeCell ref="I43:M45"/>
    <mergeCell ref="I37:M39"/>
    <mergeCell ref="N37:P39"/>
    <mergeCell ref="A40:D42"/>
    <mergeCell ref="E40:H42"/>
    <mergeCell ref="I40:M42"/>
    <mergeCell ref="N40:P42"/>
    <mergeCell ref="N43:P45"/>
    <mergeCell ref="A1:P4"/>
    <mergeCell ref="A8:D10"/>
    <mergeCell ref="E8:H10"/>
    <mergeCell ref="I8:M10"/>
    <mergeCell ref="N8:P10"/>
    <mergeCell ref="I25:M27"/>
    <mergeCell ref="N25:P27"/>
    <mergeCell ref="A49:P54"/>
  </mergeCells>
  <pageMargins left="0.75" right="0.75" top="1" bottom="1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:E1"/>
    </sheetView>
  </sheetViews>
  <sheetFormatPr defaultColWidth="14.4326923076923" defaultRowHeight="15.75" customHeight="1"/>
  <cols>
    <col min="1" max="1" width="6.28846153846154" customWidth="1"/>
    <col min="2" max="2" width="64.8557692307692" customWidth="1"/>
    <col min="3" max="3" width="11.4326923076923" customWidth="1"/>
    <col min="4" max="4" width="7.28846153846154" customWidth="1"/>
    <col min="5" max="5" width="14.8557692307692" customWidth="1"/>
    <col min="6" max="6" width="13.5673076923077" customWidth="1"/>
    <col min="7" max="7" width="12.2884615384615" customWidth="1"/>
    <col min="8" max="8" width="12.5673076923077" customWidth="1"/>
    <col min="9" max="9" width="12.4326923076923" customWidth="1"/>
    <col min="10" max="10" width="12.2884615384615" customWidth="1"/>
    <col min="11" max="12" width="13" customWidth="1"/>
    <col min="13" max="26" width="8.71153846153846" customWidth="1"/>
  </cols>
  <sheetData>
    <row r="1" customHeight="1" spans="1:26">
      <c r="A1" s="1" t="s">
        <v>446</v>
      </c>
      <c r="B1" s="2"/>
      <c r="C1" s="2"/>
      <c r="D1" s="2"/>
      <c r="E1" s="22"/>
      <c r="F1" s="23" t="s">
        <v>447</v>
      </c>
      <c r="G1" s="2"/>
      <c r="H1" s="2"/>
      <c r="I1" s="2"/>
      <c r="J1" s="2"/>
      <c r="K1" s="2"/>
      <c r="L1" s="2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customHeight="1" spans="1:26">
      <c r="A2" s="3" t="s">
        <v>448</v>
      </c>
      <c r="B2" s="4" t="s">
        <v>449</v>
      </c>
      <c r="C2" s="4" t="s">
        <v>450</v>
      </c>
      <c r="D2" s="5" t="s">
        <v>451</v>
      </c>
      <c r="E2" s="22"/>
      <c r="F2" s="4" t="s">
        <v>452</v>
      </c>
      <c r="G2" s="24" t="s">
        <v>453</v>
      </c>
      <c r="H2" s="4" t="s">
        <v>454</v>
      </c>
      <c r="I2" s="4" t="s">
        <v>455</v>
      </c>
      <c r="J2" s="4" t="s">
        <v>456</v>
      </c>
      <c r="K2" s="4" t="s">
        <v>457</v>
      </c>
      <c r="L2" s="44" t="s">
        <v>458</v>
      </c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customHeight="1" spans="1:26">
      <c r="A3" s="6">
        <v>1</v>
      </c>
      <c r="B3" s="7" t="s">
        <v>459</v>
      </c>
      <c r="C3" s="8" t="s">
        <v>460</v>
      </c>
      <c r="D3" s="9" t="s">
        <v>461</v>
      </c>
      <c r="E3" s="22"/>
      <c r="F3" s="25" t="s">
        <v>462</v>
      </c>
      <c r="G3" s="26" t="s">
        <v>463</v>
      </c>
      <c r="H3" s="26" t="s">
        <v>464</v>
      </c>
      <c r="I3" s="26" t="s">
        <v>463</v>
      </c>
      <c r="J3" s="26" t="s">
        <v>465</v>
      </c>
      <c r="K3" s="26" t="s">
        <v>463</v>
      </c>
      <c r="L3" s="45" t="s">
        <v>466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customHeight="1" spans="1:26">
      <c r="A4" s="6">
        <v>2</v>
      </c>
      <c r="B4" s="7" t="s">
        <v>467</v>
      </c>
      <c r="C4" s="8" t="s">
        <v>460</v>
      </c>
      <c r="D4" s="9" t="s">
        <v>461</v>
      </c>
      <c r="E4" s="22"/>
      <c r="F4" s="27" t="s">
        <v>468</v>
      </c>
      <c r="G4" s="28" t="s">
        <v>469</v>
      </c>
      <c r="H4" s="28" t="s">
        <v>470</v>
      </c>
      <c r="I4" s="28" t="s">
        <v>470</v>
      </c>
      <c r="J4" s="28" t="s">
        <v>470</v>
      </c>
      <c r="K4" s="28" t="s">
        <v>470</v>
      </c>
      <c r="L4" s="46" t="s">
        <v>471</v>
      </c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customHeight="1" spans="1:26">
      <c r="A5" s="6">
        <v>3</v>
      </c>
      <c r="B5" s="7" t="s">
        <v>472</v>
      </c>
      <c r="C5" s="8" t="s">
        <v>460</v>
      </c>
      <c r="D5" s="9" t="s">
        <v>473</v>
      </c>
      <c r="E5" s="22"/>
      <c r="F5" s="27" t="s">
        <v>465</v>
      </c>
      <c r="G5" s="28" t="s">
        <v>465</v>
      </c>
      <c r="H5" s="28" t="s">
        <v>466</v>
      </c>
      <c r="I5" s="28" t="s">
        <v>463</v>
      </c>
      <c r="J5" s="28" t="s">
        <v>465</v>
      </c>
      <c r="K5" s="28" t="s">
        <v>465</v>
      </c>
      <c r="L5" s="46" t="s">
        <v>465</v>
      </c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customHeight="1" spans="1:26">
      <c r="A6" s="6">
        <v>4</v>
      </c>
      <c r="B6" s="7" t="s">
        <v>474</v>
      </c>
      <c r="C6" s="10" t="s">
        <v>460</v>
      </c>
      <c r="D6" s="2"/>
      <c r="E6" s="22"/>
      <c r="F6" s="27" t="s">
        <v>469</v>
      </c>
      <c r="G6" s="28" t="s">
        <v>475</v>
      </c>
      <c r="H6" s="28" t="s">
        <v>475</v>
      </c>
      <c r="I6" s="28" t="s">
        <v>475</v>
      </c>
      <c r="J6" s="28" t="s">
        <v>469</v>
      </c>
      <c r="K6" s="28" t="s">
        <v>475</v>
      </c>
      <c r="L6" s="46" t="s">
        <v>469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customHeight="1" spans="1:26">
      <c r="A7" s="6">
        <v>5</v>
      </c>
      <c r="B7" s="7" t="s">
        <v>476</v>
      </c>
      <c r="C7" s="8" t="s">
        <v>460</v>
      </c>
      <c r="D7" s="9" t="s">
        <v>473</v>
      </c>
      <c r="E7" s="22"/>
      <c r="F7" s="27" t="s">
        <v>477</v>
      </c>
      <c r="G7" s="28" t="s">
        <v>477</v>
      </c>
      <c r="H7" s="28" t="s">
        <v>477</v>
      </c>
      <c r="I7" s="28" t="s">
        <v>477</v>
      </c>
      <c r="J7" s="28" t="s">
        <v>477</v>
      </c>
      <c r="K7" s="28" t="s">
        <v>477</v>
      </c>
      <c r="L7" s="46" t="s">
        <v>477</v>
      </c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customHeight="1" spans="1:26">
      <c r="A8" s="6">
        <v>6</v>
      </c>
      <c r="B8" s="7" t="s">
        <v>478</v>
      </c>
      <c r="C8" s="10" t="s">
        <v>460</v>
      </c>
      <c r="D8" s="2"/>
      <c r="E8" s="22"/>
      <c r="F8" s="27" t="s">
        <v>479</v>
      </c>
      <c r="G8" s="28" t="s">
        <v>479</v>
      </c>
      <c r="H8" s="28" t="s">
        <v>479</v>
      </c>
      <c r="I8" s="28" t="s">
        <v>479</v>
      </c>
      <c r="J8" s="28" t="s">
        <v>479</v>
      </c>
      <c r="K8" s="28" t="s">
        <v>479</v>
      </c>
      <c r="L8" s="46" t="s">
        <v>479</v>
      </c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customHeight="1" spans="1:26">
      <c r="A9" s="6">
        <v>7</v>
      </c>
      <c r="B9" s="7" t="s">
        <v>480</v>
      </c>
      <c r="C9" s="10" t="s">
        <v>460</v>
      </c>
      <c r="D9" s="2"/>
      <c r="E9" s="22"/>
      <c r="F9" s="27" t="s">
        <v>475</v>
      </c>
      <c r="G9" s="28" t="s">
        <v>475</v>
      </c>
      <c r="H9" s="28" t="s">
        <v>477</v>
      </c>
      <c r="I9" s="28" t="s">
        <v>477</v>
      </c>
      <c r="J9" s="28" t="s">
        <v>475</v>
      </c>
      <c r="K9" s="28" t="s">
        <v>477</v>
      </c>
      <c r="L9" s="46" t="s">
        <v>481</v>
      </c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customHeight="1" spans="1:26">
      <c r="A10" s="6">
        <v>8</v>
      </c>
      <c r="B10" s="7" t="s">
        <v>482</v>
      </c>
      <c r="C10" s="10" t="s">
        <v>460</v>
      </c>
      <c r="D10" s="2"/>
      <c r="E10" s="22"/>
      <c r="F10" s="27" t="s">
        <v>483</v>
      </c>
      <c r="G10" s="29" t="s">
        <v>483</v>
      </c>
      <c r="H10" s="29" t="s">
        <v>483</v>
      </c>
      <c r="I10" s="29" t="s">
        <v>483</v>
      </c>
      <c r="J10" s="29" t="s">
        <v>483</v>
      </c>
      <c r="K10" s="29" t="s">
        <v>483</v>
      </c>
      <c r="L10" s="46" t="s">
        <v>483</v>
      </c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customHeight="1" spans="1:26">
      <c r="A11" s="6">
        <v>9</v>
      </c>
      <c r="B11" s="7" t="s">
        <v>484</v>
      </c>
      <c r="C11" s="11" t="s">
        <v>485</v>
      </c>
      <c r="D11" s="2"/>
      <c r="E11" s="22"/>
      <c r="F11" s="30"/>
      <c r="G11" s="31" t="s">
        <v>486</v>
      </c>
      <c r="H11" s="16"/>
      <c r="I11" s="16"/>
      <c r="J11" s="16"/>
      <c r="K11" s="47"/>
      <c r="L11" s="30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customHeight="1" spans="1:26">
      <c r="A12" s="6">
        <v>10</v>
      </c>
      <c r="B12" s="7" t="s">
        <v>487</v>
      </c>
      <c r="C12" s="12" t="s">
        <v>488</v>
      </c>
      <c r="D12" s="9" t="s">
        <v>489</v>
      </c>
      <c r="E12" s="22"/>
      <c r="F12" s="32"/>
      <c r="G12" s="33"/>
      <c r="K12" s="48"/>
      <c r="L12" s="3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customHeight="1" spans="1:26">
      <c r="A13" s="6">
        <v>11</v>
      </c>
      <c r="B13" s="7" t="s">
        <v>490</v>
      </c>
      <c r="C13" s="11" t="s">
        <v>491</v>
      </c>
      <c r="D13" s="2"/>
      <c r="E13" s="22"/>
      <c r="F13" s="32"/>
      <c r="G13" s="33"/>
      <c r="K13" s="48"/>
      <c r="L13" s="3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customHeight="1" spans="1:26">
      <c r="A14" s="6">
        <v>12</v>
      </c>
      <c r="B14" s="7" t="s">
        <v>492</v>
      </c>
      <c r="C14" s="12" t="s">
        <v>493</v>
      </c>
      <c r="D14" s="9" t="s">
        <v>494</v>
      </c>
      <c r="E14" s="22"/>
      <c r="F14" s="34"/>
      <c r="G14" s="35"/>
      <c r="H14" s="36"/>
      <c r="I14" s="36"/>
      <c r="J14" s="36"/>
      <c r="K14" s="49"/>
      <c r="L14" s="34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customHeight="1" spans="1:26">
      <c r="A15" s="1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customHeight="1" spans="1:26">
      <c r="A16" s="1" t="s">
        <v>495</v>
      </c>
      <c r="B16" s="2"/>
      <c r="C16" s="2"/>
      <c r="D16" s="2"/>
      <c r="E16" s="22"/>
      <c r="F16" s="23" t="s">
        <v>447</v>
      </c>
      <c r="G16" s="2"/>
      <c r="H16" s="2"/>
      <c r="I16" s="2"/>
      <c r="J16" s="2"/>
      <c r="K16" s="2"/>
      <c r="L16" s="2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customHeight="1" spans="1:26">
      <c r="A17" s="3" t="s">
        <v>448</v>
      </c>
      <c r="B17" s="4" t="s">
        <v>449</v>
      </c>
      <c r="C17" s="4" t="s">
        <v>496</v>
      </c>
      <c r="D17" s="4" t="s">
        <v>497</v>
      </c>
      <c r="E17" s="24" t="s">
        <v>498</v>
      </c>
      <c r="F17" s="4" t="s">
        <v>499</v>
      </c>
      <c r="G17" s="24" t="s">
        <v>500</v>
      </c>
      <c r="H17" s="4" t="s">
        <v>501</v>
      </c>
      <c r="I17" s="4" t="s">
        <v>502</v>
      </c>
      <c r="J17" s="4" t="s">
        <v>503</v>
      </c>
      <c r="K17" s="4" t="s">
        <v>504</v>
      </c>
      <c r="L17" s="44" t="s">
        <v>505</v>
      </c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customHeight="1" spans="1:26">
      <c r="A18" s="6">
        <v>1</v>
      </c>
      <c r="B18" s="7" t="s">
        <v>506</v>
      </c>
      <c r="C18" s="8" t="s">
        <v>460</v>
      </c>
      <c r="D18" s="14" t="s">
        <v>461</v>
      </c>
      <c r="E18" s="37" t="s">
        <v>507</v>
      </c>
      <c r="F18" s="25" t="s">
        <v>468</v>
      </c>
      <c r="G18" s="26" t="s">
        <v>471</v>
      </c>
      <c r="H18" s="26" t="s">
        <v>471</v>
      </c>
      <c r="I18" s="26" t="s">
        <v>471</v>
      </c>
      <c r="J18" s="26" t="s">
        <v>469</v>
      </c>
      <c r="K18" s="26" t="s">
        <v>469</v>
      </c>
      <c r="L18" s="45" t="s">
        <v>468</v>
      </c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customHeight="1" spans="1:26">
      <c r="A19" s="6">
        <v>2</v>
      </c>
      <c r="B19" s="7" t="s">
        <v>508</v>
      </c>
      <c r="C19" s="8" t="s">
        <v>460</v>
      </c>
      <c r="D19" s="12" t="s">
        <v>509</v>
      </c>
      <c r="E19" s="37" t="s">
        <v>507</v>
      </c>
      <c r="F19" s="27" t="s">
        <v>510</v>
      </c>
      <c r="G19" s="28" t="s">
        <v>471</v>
      </c>
      <c r="H19" s="28" t="s">
        <v>475</v>
      </c>
      <c r="I19" s="28" t="s">
        <v>475</v>
      </c>
      <c r="J19" s="28" t="s">
        <v>469</v>
      </c>
      <c r="K19" s="28" t="s">
        <v>469</v>
      </c>
      <c r="L19" s="46" t="s">
        <v>468</v>
      </c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customHeight="1" spans="1:26">
      <c r="A20" s="6">
        <v>3</v>
      </c>
      <c r="B20" s="7" t="s">
        <v>511</v>
      </c>
      <c r="C20" s="8" t="s">
        <v>460</v>
      </c>
      <c r="D20" s="12" t="s">
        <v>509</v>
      </c>
      <c r="E20" s="37" t="s">
        <v>507</v>
      </c>
      <c r="F20" s="27" t="s">
        <v>512</v>
      </c>
      <c r="G20" s="28" t="s">
        <v>512</v>
      </c>
      <c r="H20" s="28" t="s">
        <v>512</v>
      </c>
      <c r="I20" s="28" t="s">
        <v>512</v>
      </c>
      <c r="J20" s="28" t="s">
        <v>512</v>
      </c>
      <c r="K20" s="28" t="s">
        <v>512</v>
      </c>
      <c r="L20" s="46" t="s">
        <v>512</v>
      </c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customHeight="1" spans="1:26">
      <c r="A21" s="6">
        <v>4</v>
      </c>
      <c r="B21" s="7" t="s">
        <v>513</v>
      </c>
      <c r="C21" s="8" t="s">
        <v>460</v>
      </c>
      <c r="D21" s="12" t="s">
        <v>509</v>
      </c>
      <c r="E21" s="37" t="s">
        <v>507</v>
      </c>
      <c r="F21" s="27" t="s">
        <v>483</v>
      </c>
      <c r="G21" s="28" t="s">
        <v>483</v>
      </c>
      <c r="H21" s="28" t="s">
        <v>514</v>
      </c>
      <c r="I21" s="28" t="s">
        <v>514</v>
      </c>
      <c r="J21" s="28" t="s">
        <v>514</v>
      </c>
      <c r="K21" s="28" t="s">
        <v>514</v>
      </c>
      <c r="L21" s="46" t="s">
        <v>483</v>
      </c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customHeight="1" spans="1:26">
      <c r="A22" s="6">
        <v>6</v>
      </c>
      <c r="B22" s="7" t="s">
        <v>515</v>
      </c>
      <c r="C22" s="11" t="s">
        <v>516</v>
      </c>
      <c r="D22" s="2"/>
      <c r="E22" s="22"/>
      <c r="F22" s="38"/>
      <c r="G22" s="39"/>
      <c r="H22" s="39"/>
      <c r="I22" s="39"/>
      <c r="J22" s="39"/>
      <c r="K22" s="39"/>
      <c r="L22" s="50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customHeight="1" spans="1:26">
      <c r="A23" s="6">
        <v>7</v>
      </c>
      <c r="B23" s="7" t="s">
        <v>517</v>
      </c>
      <c r="C23" s="11" t="s">
        <v>518</v>
      </c>
      <c r="D23" s="2"/>
      <c r="E23" s="22"/>
      <c r="F23" s="38"/>
      <c r="G23" s="39"/>
      <c r="H23" s="39"/>
      <c r="I23" s="39"/>
      <c r="J23" s="39"/>
      <c r="K23" s="39"/>
      <c r="L23" s="50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customHeight="1" spans="1:26">
      <c r="A24" s="6">
        <v>8</v>
      </c>
      <c r="B24" s="7" t="s">
        <v>519</v>
      </c>
      <c r="C24" s="12" t="s">
        <v>520</v>
      </c>
      <c r="D24" s="9" t="s">
        <v>521</v>
      </c>
      <c r="E24" s="22"/>
      <c r="F24" s="38"/>
      <c r="G24" s="39"/>
      <c r="H24" s="39"/>
      <c r="I24" s="39"/>
      <c r="J24" s="39"/>
      <c r="K24" s="39"/>
      <c r="L24" s="50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customHeight="1" spans="1:26">
      <c r="A25" s="6">
        <v>9</v>
      </c>
      <c r="B25" s="7" t="s">
        <v>522</v>
      </c>
      <c r="C25" s="12" t="s">
        <v>523</v>
      </c>
      <c r="D25" s="9" t="s">
        <v>524</v>
      </c>
      <c r="E25" s="22"/>
      <c r="F25" s="40"/>
      <c r="G25" s="41"/>
      <c r="H25" s="41"/>
      <c r="I25" s="41"/>
      <c r="J25" s="41"/>
      <c r="K25" s="41"/>
      <c r="L25" s="51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customHeight="1" spans="1:26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customHeight="1" spans="1:26">
      <c r="A27" s="17" t="s">
        <v>525</v>
      </c>
      <c r="B27" s="4" t="s">
        <v>449</v>
      </c>
      <c r="C27" s="18" t="s">
        <v>526</v>
      </c>
      <c r="D27" s="2"/>
      <c r="E27" s="22"/>
      <c r="F27" s="42" t="s">
        <v>527</v>
      </c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customHeight="1" spans="1:26">
      <c r="A28" s="6">
        <v>1</v>
      </c>
      <c r="B28" s="7" t="s">
        <v>528</v>
      </c>
      <c r="C28" s="11" t="s">
        <v>516</v>
      </c>
      <c r="D28" s="2"/>
      <c r="E28" s="22"/>
      <c r="F28" s="33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customHeight="1" spans="1:26">
      <c r="A29" s="6">
        <v>2</v>
      </c>
      <c r="B29" s="7" t="s">
        <v>529</v>
      </c>
      <c r="C29" s="11" t="s">
        <v>516</v>
      </c>
      <c r="D29" s="2"/>
      <c r="E29" s="22"/>
      <c r="F29" s="33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customHeight="1" spans="1:26">
      <c r="A30" s="6">
        <v>3</v>
      </c>
      <c r="B30" s="7" t="s">
        <v>530</v>
      </c>
      <c r="C30" s="11" t="s">
        <v>531</v>
      </c>
      <c r="D30" s="2"/>
      <c r="E30" s="22"/>
      <c r="F30" s="33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customHeight="1" spans="1:26">
      <c r="A31" s="6">
        <v>4</v>
      </c>
      <c r="B31" s="7" t="s">
        <v>532</v>
      </c>
      <c r="C31" s="11" t="s">
        <v>533</v>
      </c>
      <c r="D31" s="2"/>
      <c r="E31" s="22"/>
      <c r="F31" s="33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customHeight="1" spans="1:26">
      <c r="A32" s="6">
        <v>5</v>
      </c>
      <c r="B32" s="7" t="s">
        <v>534</v>
      </c>
      <c r="C32" s="11" t="s">
        <v>493</v>
      </c>
      <c r="D32" s="2"/>
      <c r="E32" s="22"/>
      <c r="F32" s="33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customHeight="1" spans="1:26">
      <c r="A33" s="6">
        <v>6</v>
      </c>
      <c r="B33" s="7" t="s">
        <v>535</v>
      </c>
      <c r="C33" s="11" t="s">
        <v>536</v>
      </c>
      <c r="D33" s="2"/>
      <c r="E33" s="22"/>
      <c r="F33" s="33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customHeight="1" spans="1:26">
      <c r="A34" s="6">
        <v>7</v>
      </c>
      <c r="B34" s="7" t="s">
        <v>537</v>
      </c>
      <c r="C34" s="11" t="s">
        <v>538</v>
      </c>
      <c r="D34" s="2"/>
      <c r="E34" s="22"/>
      <c r="F34" s="33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customHeight="1" spans="1:26">
      <c r="A35" s="6">
        <v>8</v>
      </c>
      <c r="B35" s="7" t="s">
        <v>539</v>
      </c>
      <c r="C35" s="11" t="s">
        <v>540</v>
      </c>
      <c r="D35" s="2"/>
      <c r="E35" s="22"/>
      <c r="F35" s="33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customHeight="1" spans="1:26">
      <c r="A36" s="6">
        <v>9</v>
      </c>
      <c r="B36" s="7" t="s">
        <v>541</v>
      </c>
      <c r="C36" s="11" t="s">
        <v>542</v>
      </c>
      <c r="D36" s="2"/>
      <c r="E36" s="22"/>
      <c r="F36" s="33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customHeight="1" spans="1:26">
      <c r="A37" s="6">
        <v>10</v>
      </c>
      <c r="B37" s="7" t="s">
        <v>543</v>
      </c>
      <c r="C37" s="11" t="s">
        <v>544</v>
      </c>
      <c r="D37" s="2"/>
      <c r="E37" s="22"/>
      <c r="F37" s="33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customHeight="1" spans="1:26">
      <c r="A38" s="6">
        <v>11</v>
      </c>
      <c r="B38" s="7" t="s">
        <v>545</v>
      </c>
      <c r="C38" s="11" t="s">
        <v>546</v>
      </c>
      <c r="D38" s="19" t="s">
        <v>547</v>
      </c>
      <c r="E38" s="22"/>
      <c r="F38" s="33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customHeight="1" spans="1:26">
      <c r="A39" s="6">
        <v>12</v>
      </c>
      <c r="B39" s="7" t="s">
        <v>548</v>
      </c>
      <c r="C39" s="11" t="s">
        <v>536</v>
      </c>
      <c r="D39" s="2"/>
      <c r="E39" s="22"/>
      <c r="F39" s="33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customHeight="1" spans="1:26">
      <c r="A40" s="6">
        <v>13</v>
      </c>
      <c r="B40" s="20" t="s">
        <v>549</v>
      </c>
      <c r="C40" s="11" t="s">
        <v>533</v>
      </c>
      <c r="D40" s="2"/>
      <c r="E40" s="22"/>
      <c r="F40" s="33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customHeight="1" spans="1:26">
      <c r="A41" s="6">
        <v>14</v>
      </c>
      <c r="B41" s="20" t="s">
        <v>550</v>
      </c>
      <c r="C41" s="11" t="s">
        <v>518</v>
      </c>
      <c r="D41" s="2"/>
      <c r="E41" s="22"/>
      <c r="F41" s="33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customHeight="1" spans="1:26">
      <c r="A42" s="6">
        <v>15</v>
      </c>
      <c r="B42" s="7" t="s">
        <v>551</v>
      </c>
      <c r="C42" s="11" t="s">
        <v>546</v>
      </c>
      <c r="D42" s="2"/>
      <c r="E42" s="22"/>
      <c r="F42" s="33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customHeight="1" spans="1:26">
      <c r="A43" s="6">
        <v>16</v>
      </c>
      <c r="B43" s="7" t="s">
        <v>552</v>
      </c>
      <c r="C43" s="11" t="s">
        <v>553</v>
      </c>
      <c r="D43" s="2"/>
      <c r="E43" s="22"/>
      <c r="F43" s="33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customHeight="1" spans="1:26">
      <c r="A44" s="21" t="s">
        <v>554</v>
      </c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customHeight="1" spans="1:26">
      <c r="A45" s="21" t="s">
        <v>555</v>
      </c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customHeight="1" spans="1:26">
      <c r="A46" s="21" t="s">
        <v>556</v>
      </c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customHeight="1" spans="1:26">
      <c r="A47" s="21" t="s">
        <v>557</v>
      </c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customHeight="1" spans="1:26">
      <c r="A48" s="21" t="s">
        <v>558</v>
      </c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customHeight="1" spans="1:26">
      <c r="A49" s="21" t="s">
        <v>559</v>
      </c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customHeight="1" spans="1:26">
      <c r="A50" s="1" t="s">
        <v>560</v>
      </c>
      <c r="B50" s="2"/>
      <c r="C50" s="2"/>
      <c r="D50" s="2"/>
      <c r="E50" s="22"/>
      <c r="F50" s="43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customHeight="1" spans="1:26">
      <c r="A51" s="17" t="s">
        <v>525</v>
      </c>
      <c r="B51" s="4" t="s">
        <v>449</v>
      </c>
      <c r="C51" s="18" t="s">
        <v>526</v>
      </c>
      <c r="D51" s="2"/>
      <c r="E51" s="22"/>
      <c r="F51" s="33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customHeight="1" spans="1:26">
      <c r="A52" s="6">
        <v>1</v>
      </c>
      <c r="B52" s="7" t="s">
        <v>561</v>
      </c>
      <c r="C52" s="11" t="s">
        <v>562</v>
      </c>
      <c r="D52" s="2"/>
      <c r="E52" s="22"/>
      <c r="F52" s="33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customHeight="1" spans="1:26">
      <c r="A53" s="6">
        <v>2</v>
      </c>
      <c r="B53" s="7" t="s">
        <v>563</v>
      </c>
      <c r="C53" s="11" t="s">
        <v>564</v>
      </c>
      <c r="D53" s="2"/>
      <c r="E53" s="22"/>
      <c r="F53" s="33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customHeight="1" spans="1:26">
      <c r="A54" s="6">
        <v>3</v>
      </c>
      <c r="B54" s="7" t="s">
        <v>565</v>
      </c>
      <c r="C54" s="11" t="s">
        <v>566</v>
      </c>
      <c r="D54" s="2"/>
      <c r="E54" s="22"/>
      <c r="F54" s="33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customHeight="1" spans="1:26">
      <c r="A55" s="6">
        <v>4</v>
      </c>
      <c r="B55" s="7" t="s">
        <v>567</v>
      </c>
      <c r="C55" s="11" t="s">
        <v>568</v>
      </c>
      <c r="D55" s="2"/>
      <c r="E55" s="22"/>
      <c r="F55" s="33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customHeight="1" spans="1:26">
      <c r="A56" s="6">
        <v>5</v>
      </c>
      <c r="B56" s="7" t="s">
        <v>569</v>
      </c>
      <c r="C56" s="11" t="s">
        <v>562</v>
      </c>
      <c r="D56" s="2"/>
      <c r="E56" s="22"/>
      <c r="F56" s="33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customHeight="1" spans="1:26">
      <c r="A57" s="6">
        <v>6</v>
      </c>
      <c r="B57" s="12" t="s">
        <v>570</v>
      </c>
      <c r="C57" s="11" t="s">
        <v>571</v>
      </c>
      <c r="D57" s="2"/>
      <c r="E57" s="22"/>
      <c r="F57" s="33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customHeight="1" spans="1:26">
      <c r="A58" s="6">
        <v>7</v>
      </c>
      <c r="B58" s="7" t="s">
        <v>572</v>
      </c>
      <c r="C58" s="11" t="s">
        <v>564</v>
      </c>
      <c r="D58" s="2"/>
      <c r="E58" s="22"/>
      <c r="F58" s="33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customHeight="1" spans="1:26">
      <c r="A59" s="6">
        <v>8</v>
      </c>
      <c r="B59" s="14" t="s">
        <v>573</v>
      </c>
      <c r="C59" s="11" t="s">
        <v>574</v>
      </c>
      <c r="D59" s="2"/>
      <c r="E59" s="22"/>
      <c r="F59" s="33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customHeight="1" spans="1:26">
      <c r="A60" s="6">
        <v>9</v>
      </c>
      <c r="B60" s="7" t="s">
        <v>575</v>
      </c>
      <c r="C60" s="11" t="s">
        <v>576</v>
      </c>
      <c r="D60" s="2"/>
      <c r="E60" s="22"/>
      <c r="F60" s="33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customHeight="1" spans="1:26">
      <c r="A61" s="6">
        <v>10</v>
      </c>
      <c r="B61" s="7" t="s">
        <v>577</v>
      </c>
      <c r="C61" s="11" t="s">
        <v>578</v>
      </c>
      <c r="D61" s="2"/>
      <c r="E61" s="22"/>
      <c r="F61" s="33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customHeight="1" spans="1:26">
      <c r="A62" s="6">
        <v>11</v>
      </c>
      <c r="B62" s="14" t="s">
        <v>579</v>
      </c>
      <c r="C62" s="11" t="s">
        <v>578</v>
      </c>
      <c r="D62" s="2"/>
      <c r="E62" s="22"/>
      <c r="F62" s="33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customHeight="1" spans="1:26">
      <c r="A63" s="6">
        <v>12</v>
      </c>
      <c r="B63" s="7" t="s">
        <v>580</v>
      </c>
      <c r="C63" s="11" t="s">
        <v>581</v>
      </c>
      <c r="D63" s="2"/>
      <c r="E63" s="22"/>
      <c r="F63" s="33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customHeight="1" spans="1:26">
      <c r="A64" s="6">
        <v>13</v>
      </c>
      <c r="B64" s="7" t="s">
        <v>582</v>
      </c>
      <c r="C64" s="11" t="s">
        <v>581</v>
      </c>
      <c r="D64" s="2"/>
      <c r="E64" s="22"/>
      <c r="F64" s="33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customHeight="1" spans="1:26">
      <c r="A65" s="6">
        <v>14</v>
      </c>
      <c r="B65" s="7" t="s">
        <v>583</v>
      </c>
      <c r="C65" s="11" t="s">
        <v>581</v>
      </c>
      <c r="D65" s="2"/>
      <c r="E65" s="22"/>
      <c r="F65" s="33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customHeight="1" spans="1:26">
      <c r="A66" s="6">
        <v>15</v>
      </c>
      <c r="B66" s="7" t="s">
        <v>584</v>
      </c>
      <c r="C66" s="11" t="s">
        <v>581</v>
      </c>
      <c r="D66" s="2"/>
      <c r="E66" s="22"/>
      <c r="F66" s="33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customHeight="1" spans="1:26">
      <c r="A67" s="6">
        <v>16</v>
      </c>
      <c r="B67" s="7" t="s">
        <v>585</v>
      </c>
      <c r="C67" s="11" t="s">
        <v>581</v>
      </c>
      <c r="D67" s="2"/>
      <c r="E67" s="22"/>
      <c r="F67" s="33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customHeight="1" spans="1:26">
      <c r="A68" s="6">
        <v>17</v>
      </c>
      <c r="B68" s="7" t="s">
        <v>586</v>
      </c>
      <c r="C68" s="11" t="s">
        <v>587</v>
      </c>
      <c r="D68" s="2"/>
      <c r="E68" s="22"/>
      <c r="F68" s="33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customHeight="1" spans="1:26">
      <c r="A69" s="6">
        <v>18</v>
      </c>
      <c r="B69" s="14" t="s">
        <v>588</v>
      </c>
      <c r="C69" s="11" t="s">
        <v>578</v>
      </c>
      <c r="D69" s="2"/>
      <c r="E69" s="22"/>
      <c r="F69" s="33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customHeight="1" spans="1:26">
      <c r="A70" s="6">
        <v>19</v>
      </c>
      <c r="B70" s="7" t="s">
        <v>589</v>
      </c>
      <c r="C70" s="11" t="s">
        <v>574</v>
      </c>
      <c r="D70" s="2"/>
      <c r="E70" s="22"/>
      <c r="F70" s="33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customHeight="1" spans="1:26">
      <c r="A71" s="6">
        <v>20</v>
      </c>
      <c r="B71" s="7" t="s">
        <v>590</v>
      </c>
      <c r="C71" s="11" t="s">
        <v>574</v>
      </c>
      <c r="D71" s="2"/>
      <c r="E71" s="22"/>
      <c r="F71" s="33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customHeight="1" spans="1:26">
      <c r="A72" s="6">
        <v>21</v>
      </c>
      <c r="B72" s="53"/>
      <c r="C72" s="54"/>
      <c r="D72" s="2"/>
      <c r="E72" s="22"/>
      <c r="F72" s="33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customHeight="1" spans="1:26">
      <c r="A73" s="55" t="s">
        <v>591</v>
      </c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customHeight="1" spans="1:26">
      <c r="A74" s="21" t="s">
        <v>592</v>
      </c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customHeight="1" spans="1:26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customHeight="1" spans="1:2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customHeight="1" spans="1:26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customHeight="1" spans="1:26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customHeight="1" spans="1:26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customHeight="1" spans="1:26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customHeight="1" spans="1:26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customHeight="1" spans="1:26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customHeight="1" spans="1:26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customHeight="1" spans="1:26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customHeight="1" spans="1:26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customHeight="1" spans="1:2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customHeight="1" spans="1:26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customHeight="1" spans="1:26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customHeight="1" spans="1:26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customHeight="1" spans="1:26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customHeight="1" spans="1:26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customHeight="1" spans="1:26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customHeight="1" spans="1:26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customHeight="1" spans="1:26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customHeight="1" spans="1:26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customHeight="1" spans="1:2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customHeight="1" spans="1:26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customHeight="1" spans="1:26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customHeight="1" spans="1:26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customHeight="1" spans="1:26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customHeight="1" spans="1:26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customHeight="1" spans="1:26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customHeight="1" spans="1:26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customHeight="1" spans="1:26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customHeight="1" spans="1:26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customHeight="1" spans="1:2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customHeight="1" spans="1:26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customHeight="1" spans="1:26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customHeight="1" spans="1:26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customHeight="1" spans="1:26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customHeight="1" spans="1:26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customHeight="1" spans="1:26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customHeight="1" spans="1:26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customHeight="1" spans="1:26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customHeight="1" spans="1:26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customHeight="1" spans="1:2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customHeight="1" spans="1:26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customHeight="1" spans="1:26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customHeight="1" spans="1:26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customHeight="1" spans="1:26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customHeight="1" spans="1:26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customHeight="1" spans="1:26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customHeight="1" spans="1:26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customHeight="1" spans="1:26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customHeight="1" spans="1:26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customHeight="1" spans="1: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customHeight="1" spans="1:26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customHeight="1" spans="1:26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customHeight="1" spans="1:26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customHeight="1" spans="1:26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customHeight="1" spans="1:26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customHeight="1" spans="1:26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customHeight="1" spans="1:26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customHeight="1" spans="1:26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customHeight="1" spans="1:26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customHeight="1" spans="1:2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customHeight="1" spans="1:26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customHeight="1" spans="1:26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customHeight="1" spans="1:26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customHeight="1" spans="1:26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customHeight="1" spans="1:26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customHeight="1" spans="1:26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customHeight="1" spans="1:26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customHeight="1" spans="1:26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customHeight="1" spans="1:26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customHeight="1" spans="1:2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customHeight="1" spans="1:26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customHeight="1" spans="1:26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customHeight="1" spans="1:26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customHeight="1" spans="1:26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customHeight="1" spans="1:26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customHeight="1" spans="1:26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customHeight="1" spans="1:26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customHeight="1" spans="1:26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customHeight="1" spans="1:26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customHeight="1" spans="1:2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customHeight="1" spans="1:26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customHeight="1" spans="1:26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customHeight="1" spans="1:26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customHeight="1" spans="1:26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customHeight="1" spans="1:26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customHeight="1" spans="1:26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customHeight="1" spans="1:26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customHeight="1" spans="1:26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customHeight="1" spans="1:26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customHeight="1" spans="1:2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customHeight="1" spans="1:26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customHeight="1" spans="1:26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customHeight="1" spans="1:26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customHeight="1" spans="1:26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customHeight="1" spans="1:26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customHeight="1" spans="1:26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customHeight="1" spans="1:26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customHeight="1" spans="1:26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customHeight="1" spans="1:26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customHeight="1" spans="1:2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customHeight="1" spans="1:26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customHeight="1" spans="1:26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customHeight="1" spans="1:26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customHeight="1" spans="1:26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customHeight="1" spans="1:26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customHeight="1" spans="1:26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customHeight="1" spans="1:26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customHeight="1" spans="1:26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customHeight="1" spans="1:26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customHeight="1" spans="1:2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customHeight="1" spans="1:26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customHeight="1" spans="1:26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customHeight="1" spans="1:26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customHeight="1" spans="1:26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customHeight="1" spans="1:26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customHeight="1" spans="1:26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customHeight="1" spans="1:26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customHeight="1" spans="1:26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customHeight="1" spans="1:26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customHeight="1" spans="1:2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customHeight="1" spans="1:26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customHeight="1" spans="1:26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customHeight="1" spans="1:26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customHeight="1" spans="1:26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customHeight="1" spans="1:26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customHeight="1" spans="1:26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customHeight="1" spans="1:26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customHeight="1" spans="1:26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customHeight="1" spans="1:26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customHeight="1" spans="1:2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customHeight="1" spans="1:26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customHeight="1" spans="1:26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customHeight="1" spans="1:26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customHeight="1" spans="1:26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customHeight="1" spans="1:26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customHeight="1" spans="1:26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customHeight="1" spans="1:26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customHeight="1" spans="1:26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customHeight="1" spans="1:26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customHeight="1" spans="1:2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customHeight="1" spans="1:26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customHeight="1" spans="1:26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customHeight="1" spans="1:26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customHeight="1" spans="1:26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customHeight="1" spans="1:26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customHeight="1" spans="1:26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customHeight="1" spans="1:26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customHeight="1" spans="1:26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customHeight="1" spans="1:26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customHeight="1" spans="1: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customHeight="1" spans="1:26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customHeight="1" spans="1:26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customHeight="1" spans="1:26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customHeight="1" spans="1:26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customHeight="1" spans="1:26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customHeight="1" spans="1:26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customHeight="1" spans="1:26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customHeight="1" spans="1:26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customHeight="1" spans="1:26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customHeight="1" spans="1:2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customHeight="1" spans="1:26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customHeight="1" spans="1:26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customHeight="1" spans="1:26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customHeight="1" spans="1:26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customHeight="1" spans="1:26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customHeight="1" spans="1:26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customHeight="1" spans="1:26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customHeight="1" spans="1:26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customHeight="1" spans="1:26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customHeight="1" spans="1:2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customHeight="1" spans="1:26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customHeight="1" spans="1:26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customHeight="1" spans="1:26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customHeight="1" spans="1:26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customHeight="1" spans="1:26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customHeight="1" spans="1:26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customHeight="1" spans="1:26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customHeight="1" spans="1:26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customHeight="1" spans="1:26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customHeight="1" spans="1:2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customHeight="1" spans="1:26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customHeight="1" spans="1:26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customHeight="1" spans="1:26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customHeight="1" spans="1:26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customHeight="1" spans="1:26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customHeight="1" spans="1:26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customHeight="1" spans="1:26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customHeight="1" spans="1:26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customHeight="1" spans="1:26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customHeight="1" spans="1:2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customHeight="1" spans="1:26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customHeight="1" spans="1:26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customHeight="1" spans="1:26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customHeight="1" spans="1:26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customHeight="1" spans="1:26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customHeight="1" spans="1:26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customHeight="1" spans="1:26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customHeight="1" spans="1:26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customHeight="1" spans="1:26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customHeight="1" spans="1:2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customHeight="1" spans="1:26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customHeight="1" spans="1:26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customHeight="1" spans="1:26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customHeight="1" spans="1:26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customHeight="1" spans="1:26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customHeight="1" spans="1:26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customHeight="1" spans="1:26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customHeight="1" spans="1:26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customHeight="1" spans="1:26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customHeight="1" spans="1:2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customHeight="1" spans="1:26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customHeight="1" spans="1:26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customHeight="1" spans="1:26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customHeight="1" spans="1:26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customHeight="1" spans="1:26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customHeight="1" spans="1:26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customHeight="1" spans="1:26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customHeight="1" spans="1:26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customHeight="1" spans="1:26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customHeight="1" spans="1:2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customHeight="1" spans="1:26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customHeight="1" spans="1:26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customHeight="1" spans="1:26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customHeight="1" spans="1:26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customHeight="1" spans="1:26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customHeight="1" spans="1:26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customHeight="1" spans="1:26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customHeight="1" spans="1:26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customHeight="1" spans="1:26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customHeight="1" spans="1:2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customHeight="1" spans="1:26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customHeight="1" spans="1:26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customHeight="1" spans="1:26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customHeight="1" spans="1:26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customHeight="1" spans="1:26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customHeight="1" spans="1:26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customHeight="1" spans="1:26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customHeight="1" spans="1:26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customHeight="1" spans="1:26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customHeight="1" spans="1:2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customHeight="1" spans="1:26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customHeight="1" spans="1:26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customHeight="1" spans="1:26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customHeight="1" spans="1:26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customHeight="1" spans="1:26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customHeight="1" spans="1:26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customHeight="1" spans="1:26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customHeight="1" spans="1:26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customHeight="1" spans="1:26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customHeight="1" spans="1: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customHeight="1" spans="1:26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customHeight="1" spans="1:26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customHeight="1" spans="1:26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customHeight="1" spans="1:26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customHeight="1" spans="1:26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customHeight="1" spans="1:26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customHeight="1" spans="1:26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customHeight="1" spans="1:26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customHeight="1" spans="1:26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customHeight="1" spans="1:2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customHeight="1" spans="1:26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customHeight="1" spans="1:26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customHeight="1" spans="1:26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customHeight="1" spans="1:26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customHeight="1" spans="1:26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customHeight="1" spans="1:26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customHeight="1" spans="1:26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customHeight="1" spans="1:26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customHeight="1" spans="1:26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customHeight="1" spans="1:2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customHeight="1" spans="1:26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customHeight="1" spans="1:26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customHeight="1" spans="1:26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customHeight="1" spans="1:26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customHeight="1" spans="1:26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customHeight="1" spans="1:26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customHeight="1" spans="1:26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customHeight="1" spans="1:26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customHeight="1" spans="1:26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customHeight="1" spans="1:2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customHeight="1" spans="1:26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customHeight="1" spans="1:26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customHeight="1" spans="1:26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customHeight="1" spans="1:26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customHeight="1" spans="1:26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customHeight="1" spans="1:26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customHeight="1" spans="1:26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customHeight="1" spans="1:26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customHeight="1" spans="1:26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customHeight="1" spans="1:2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customHeight="1" spans="1:26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customHeight="1" spans="1:26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customHeight="1" spans="1:26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customHeight="1" spans="1:26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customHeight="1" spans="1:26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customHeight="1" spans="1:26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customHeight="1" spans="1:26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customHeight="1" spans="1:26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customHeight="1" spans="1:26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customHeight="1" spans="1:2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customHeight="1" spans="1:26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customHeight="1" spans="1:26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customHeight="1" spans="1:26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customHeight="1" spans="1:26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customHeight="1" spans="1:26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customHeight="1" spans="1:26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customHeight="1" spans="1:26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customHeight="1" spans="1:26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customHeight="1" spans="1:26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customHeight="1" spans="1:2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customHeight="1" spans="1:26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customHeight="1" spans="1:26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customHeight="1" spans="1:26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customHeight="1" spans="1:26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customHeight="1" spans="1:26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customHeight="1" spans="1:26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customHeight="1" spans="1:26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customHeight="1" spans="1:26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customHeight="1" spans="1:26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customHeight="1" spans="1:2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customHeight="1" spans="1:26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customHeight="1" spans="1:26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customHeight="1" spans="1:26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customHeight="1" spans="1:26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customHeight="1" spans="1:26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customHeight="1" spans="1:26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customHeight="1" spans="1:26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customHeight="1" spans="1:26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customHeight="1" spans="1:26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customHeight="1" spans="1:2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customHeight="1" spans="1:26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customHeight="1" spans="1:26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customHeight="1" spans="1:26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customHeight="1" spans="1:26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customHeight="1" spans="1:26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customHeight="1" spans="1:26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customHeight="1" spans="1:26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customHeight="1" spans="1:26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customHeight="1" spans="1:26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customHeight="1" spans="1:2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customHeight="1" spans="1:26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customHeight="1" spans="1:26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customHeight="1" spans="1:26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customHeight="1" spans="1:26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customHeight="1" spans="1:26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customHeight="1" spans="1:26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customHeight="1" spans="1:26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customHeight="1" spans="1:26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customHeight="1" spans="1:26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customHeight="1" spans="1: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customHeight="1" spans="1:26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customHeight="1" spans="1:26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customHeight="1" spans="1:26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customHeight="1" spans="1:26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customHeight="1" spans="1:26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customHeight="1" spans="1:26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customHeight="1" spans="1:26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customHeight="1" spans="1:26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customHeight="1" spans="1:26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customHeight="1" spans="1:2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customHeight="1" spans="1:26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customHeight="1" spans="1:26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customHeight="1" spans="1:26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customHeight="1" spans="1:26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customHeight="1" spans="1:26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customHeight="1" spans="1:26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customHeight="1" spans="1:26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customHeight="1" spans="1:26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customHeight="1" spans="1:26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customHeight="1" spans="1:2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customHeight="1" spans="1:26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customHeight="1" spans="1:26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customHeight="1" spans="1:26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customHeight="1" spans="1:26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customHeight="1" spans="1:26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customHeight="1" spans="1:26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customHeight="1" spans="1:26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customHeight="1" spans="1:26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customHeight="1" spans="1:26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customHeight="1" spans="1:2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customHeight="1" spans="1:26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customHeight="1" spans="1:26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customHeight="1" spans="1:26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customHeight="1" spans="1:26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customHeight="1" spans="1:26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customHeight="1" spans="1:26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customHeight="1" spans="1:26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customHeight="1" spans="1:26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customHeight="1" spans="1:26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customHeight="1" spans="1:2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customHeight="1" spans="1:26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customHeight="1" spans="1:26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customHeight="1" spans="1:26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customHeight="1" spans="1:26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customHeight="1" spans="1:26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customHeight="1" spans="1:26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customHeight="1" spans="1:26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customHeight="1" spans="1:26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customHeight="1" spans="1:26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customHeight="1" spans="1:2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customHeight="1" spans="1:26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customHeight="1" spans="1:26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customHeight="1" spans="1:26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customHeight="1" spans="1:26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customHeight="1" spans="1:26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customHeight="1" spans="1:26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customHeight="1" spans="1:26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customHeight="1" spans="1:26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customHeight="1" spans="1:26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customHeight="1" spans="1:2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customHeight="1" spans="1:26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customHeight="1" spans="1:26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customHeight="1" spans="1:26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customHeight="1" spans="1:26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customHeight="1" spans="1:26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customHeight="1" spans="1:26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customHeight="1" spans="1:26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customHeight="1" spans="1:26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customHeight="1" spans="1:26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customHeight="1" spans="1:2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customHeight="1" spans="1:26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customHeight="1" spans="1:26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customHeight="1" spans="1:26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customHeight="1" spans="1:26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customHeight="1" spans="1:26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customHeight="1" spans="1:26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customHeight="1" spans="1:26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customHeight="1" spans="1:26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customHeight="1" spans="1:26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customHeight="1" spans="1:2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customHeight="1" spans="1:26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customHeight="1" spans="1:26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customHeight="1" spans="1:26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customHeight="1" spans="1:26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customHeight="1" spans="1:26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customHeight="1" spans="1:26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customHeight="1" spans="1:26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customHeight="1" spans="1:26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customHeight="1" spans="1:26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customHeight="1" spans="1:2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customHeight="1" spans="1:26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customHeight="1" spans="1:26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customHeight="1" spans="1:26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customHeight="1" spans="1:26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customHeight="1" spans="1:26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customHeight="1" spans="1:26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customHeight="1" spans="1:26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customHeight="1" spans="1:26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customHeight="1" spans="1:26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customHeight="1" spans="1: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customHeight="1" spans="1:26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customHeight="1" spans="1:26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customHeight="1" spans="1:26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customHeight="1" spans="1:26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customHeight="1" spans="1:26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customHeight="1" spans="1:26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customHeight="1" spans="1:26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customHeight="1" spans="1:26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customHeight="1" spans="1:26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customHeight="1" spans="1:2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customHeight="1" spans="1:26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customHeight="1" spans="1:26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customHeight="1" spans="1:26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customHeight="1" spans="1:26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customHeight="1" spans="1:26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customHeight="1" spans="1:26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customHeight="1" spans="1:26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customHeight="1" spans="1:26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customHeight="1" spans="1:26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customHeight="1" spans="1:2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customHeight="1" spans="1:26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customHeight="1" spans="1:26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customHeight="1" spans="1:26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customHeight="1" spans="1:26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customHeight="1" spans="1:26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customHeight="1" spans="1:26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customHeight="1" spans="1:26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customHeight="1" spans="1:26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customHeight="1" spans="1:26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customHeight="1" spans="1:2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customHeight="1" spans="1:26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customHeight="1" spans="1:26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customHeight="1" spans="1:26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customHeight="1" spans="1:26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customHeight="1" spans="1:26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customHeight="1" spans="1:26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customHeight="1" spans="1:26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customHeight="1" spans="1:26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customHeight="1" spans="1:26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customHeight="1" spans="1:2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customHeight="1" spans="1:26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customHeight="1" spans="1:26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customHeight="1" spans="1:26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customHeight="1" spans="1:26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customHeight="1" spans="1:26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customHeight="1" spans="1:26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customHeight="1" spans="1:26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customHeight="1" spans="1:26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customHeight="1" spans="1:26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customHeight="1" spans="1:2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customHeight="1" spans="1:26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customHeight="1" spans="1:26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customHeight="1" spans="1:26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customHeight="1" spans="1:26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customHeight="1" spans="1:26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customHeight="1" spans="1:26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customHeight="1" spans="1:26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customHeight="1" spans="1:26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customHeight="1" spans="1:26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customHeight="1" spans="1:2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customHeight="1" spans="1:26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customHeight="1" spans="1:26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customHeight="1" spans="1:26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customHeight="1" spans="1:26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customHeight="1" spans="1:26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customHeight="1" spans="1:26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customHeight="1" spans="1:26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customHeight="1" spans="1:26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customHeight="1" spans="1:26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customHeight="1" spans="1:2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customHeight="1" spans="1:26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customHeight="1" spans="1:26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customHeight="1" spans="1:26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customHeight="1" spans="1:26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customHeight="1" spans="1:26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customHeight="1" spans="1:26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customHeight="1" spans="1:26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customHeight="1" spans="1:26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customHeight="1" spans="1:26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customHeight="1" spans="1:2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customHeight="1" spans="1:26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customHeight="1" spans="1:26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customHeight="1" spans="1:26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customHeight="1" spans="1:26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customHeight="1" spans="1:26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customHeight="1" spans="1:26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customHeight="1" spans="1:26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customHeight="1" spans="1:26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customHeight="1" spans="1:26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customHeight="1" spans="1:2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customHeight="1" spans="1:26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customHeight="1" spans="1:26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customHeight="1" spans="1:26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customHeight="1" spans="1:26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customHeight="1" spans="1:26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customHeight="1" spans="1:26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customHeight="1" spans="1:26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customHeight="1" spans="1:26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customHeight="1" spans="1:26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customHeight="1" spans="1: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customHeight="1" spans="1:26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customHeight="1" spans="1:26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customHeight="1" spans="1:26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customHeight="1" spans="1:26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customHeight="1" spans="1:26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customHeight="1" spans="1:26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customHeight="1" spans="1:26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customHeight="1" spans="1:26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customHeight="1" spans="1:26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customHeight="1" spans="1:2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customHeight="1" spans="1:26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customHeight="1" spans="1:26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customHeight="1" spans="1:26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customHeight="1" spans="1:26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customHeight="1" spans="1:26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customHeight="1" spans="1:26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customHeight="1" spans="1:26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customHeight="1" spans="1:26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customHeight="1" spans="1:26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customHeight="1" spans="1:2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customHeight="1" spans="1:26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customHeight="1" spans="1:26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customHeight="1" spans="1:26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customHeight="1" spans="1:26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customHeight="1" spans="1:26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customHeight="1" spans="1:26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customHeight="1" spans="1:26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customHeight="1" spans="1:26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customHeight="1" spans="1:26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customHeight="1" spans="1:2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customHeight="1" spans="1:26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customHeight="1" spans="1:26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customHeight="1" spans="1:26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customHeight="1" spans="1:26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customHeight="1" spans="1:26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customHeight="1" spans="1:26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customHeight="1" spans="1:26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customHeight="1" spans="1:26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customHeight="1" spans="1:26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customHeight="1" spans="1:2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customHeight="1" spans="1:26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customHeight="1" spans="1:26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customHeight="1" spans="1:26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customHeight="1" spans="1:26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customHeight="1" spans="1:26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customHeight="1" spans="1:26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customHeight="1" spans="1:26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customHeight="1" spans="1:26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customHeight="1" spans="1:26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customHeight="1" spans="1:2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customHeight="1" spans="1:26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customHeight="1" spans="1:26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customHeight="1" spans="1:26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customHeight="1" spans="1:26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customHeight="1" spans="1:26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customHeight="1" spans="1:26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customHeight="1" spans="1:26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customHeight="1" spans="1:26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customHeight="1" spans="1:26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customHeight="1" spans="1:2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customHeight="1" spans="1:26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customHeight="1" spans="1:26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customHeight="1" spans="1:26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customHeight="1" spans="1:26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customHeight="1" spans="1:26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customHeight="1" spans="1:26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customHeight="1" spans="1:26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customHeight="1" spans="1:26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customHeight="1" spans="1:26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customHeight="1" spans="1:2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customHeight="1" spans="1:26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customHeight="1" spans="1:26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customHeight="1" spans="1:26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customHeight="1" spans="1:26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customHeight="1" spans="1:26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customHeight="1" spans="1:26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customHeight="1" spans="1:26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customHeight="1" spans="1:26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customHeight="1" spans="1:26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customHeight="1" spans="1:2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customHeight="1" spans="1:26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customHeight="1" spans="1:26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customHeight="1" spans="1:26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customHeight="1" spans="1:26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customHeight="1" spans="1:26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customHeight="1" spans="1:26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customHeight="1" spans="1:26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customHeight="1" spans="1:26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customHeight="1" spans="1:26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customHeight="1" spans="1:2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customHeight="1" spans="1:26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customHeight="1" spans="1:26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customHeight="1" spans="1:26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customHeight="1" spans="1:26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customHeight="1" spans="1:26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customHeight="1" spans="1:26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customHeight="1" spans="1:26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customHeight="1" spans="1:26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customHeight="1" spans="1:26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customHeight="1" spans="1: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customHeight="1" spans="1:26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customHeight="1" spans="1:26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customHeight="1" spans="1:26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customHeight="1" spans="1:26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customHeight="1" spans="1:26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customHeight="1" spans="1:26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customHeight="1" spans="1:26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customHeight="1" spans="1:26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customHeight="1" spans="1:26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customHeight="1" spans="1:2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customHeight="1" spans="1:26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customHeight="1" spans="1:26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customHeight="1" spans="1:26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customHeight="1" spans="1:26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customHeight="1" spans="1:26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customHeight="1" spans="1:26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customHeight="1" spans="1:26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customHeight="1" spans="1:26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customHeight="1" spans="1:26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customHeight="1" spans="1:2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customHeight="1" spans="1:26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customHeight="1" spans="1:26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customHeight="1" spans="1:26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customHeight="1" spans="1:26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customHeight="1" spans="1:26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customHeight="1" spans="1:26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customHeight="1" spans="1:26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customHeight="1" spans="1:26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customHeight="1" spans="1:26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customHeight="1" spans="1:2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customHeight="1" spans="1:26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customHeight="1" spans="1:26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customHeight="1" spans="1:26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customHeight="1" spans="1:26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customHeight="1" spans="1:26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customHeight="1" spans="1:26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customHeight="1" spans="1:26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customHeight="1" spans="1:26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customHeight="1" spans="1:26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customHeight="1" spans="1:2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customHeight="1" spans="1:26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customHeight="1" spans="1:26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customHeight="1" spans="1:26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customHeight="1" spans="1:26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customHeight="1" spans="1:26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customHeight="1" spans="1:26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customHeight="1" spans="1:26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customHeight="1" spans="1:26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customHeight="1" spans="1:26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customHeight="1" spans="1:2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customHeight="1" spans="1:26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customHeight="1" spans="1:26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customHeight="1" spans="1:26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customHeight="1" spans="1:26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customHeight="1" spans="1:26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customHeight="1" spans="1:26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customHeight="1" spans="1:26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customHeight="1" spans="1:26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customHeight="1" spans="1:26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customHeight="1" spans="1:2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customHeight="1" spans="1:26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customHeight="1" spans="1:26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customHeight="1" spans="1:26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customHeight="1" spans="1:26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customHeight="1" spans="1:26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customHeight="1" spans="1:26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customHeight="1" spans="1:26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customHeight="1" spans="1:26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customHeight="1" spans="1:26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customHeight="1" spans="1:2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customHeight="1" spans="1:26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customHeight="1" spans="1:26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customHeight="1" spans="1:26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customHeight="1" spans="1:26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customHeight="1" spans="1:26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customHeight="1" spans="1:26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customHeight="1" spans="1:26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customHeight="1" spans="1:26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customHeight="1" spans="1:26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customHeight="1" spans="1:2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customHeight="1" spans="1:26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customHeight="1" spans="1:26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customHeight="1" spans="1:26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customHeight="1" spans="1:26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customHeight="1" spans="1:26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customHeight="1" spans="1:26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customHeight="1" spans="1:26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customHeight="1" spans="1:26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customHeight="1" spans="1:26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customHeight="1" spans="1:2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customHeight="1" spans="1:26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customHeight="1" spans="1:26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customHeight="1" spans="1:26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customHeight="1" spans="1:26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customHeight="1" spans="1:26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customHeight="1" spans="1:26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customHeight="1" spans="1:26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customHeight="1" spans="1:26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customHeight="1" spans="1:26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customHeight="1" spans="1: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customHeight="1" spans="1:26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customHeight="1" spans="1:26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customHeight="1" spans="1:26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customHeight="1" spans="1:26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customHeight="1" spans="1:26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customHeight="1" spans="1:26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customHeight="1" spans="1:26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customHeight="1" spans="1:26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customHeight="1" spans="1:26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customHeight="1" spans="1:2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customHeight="1" spans="1:26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customHeight="1" spans="1:26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customHeight="1" spans="1:26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customHeight="1" spans="1:26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customHeight="1" spans="1:26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customHeight="1" spans="1:26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customHeight="1" spans="1:26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customHeight="1" spans="1:26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customHeight="1" spans="1:26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customHeight="1" spans="1:2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customHeight="1" spans="1:26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customHeight="1" spans="1:26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customHeight="1" spans="1:26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customHeight="1" spans="1:26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customHeight="1" spans="1:26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customHeight="1" spans="1:26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customHeight="1" spans="1:26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customHeight="1" spans="1:26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customHeight="1" spans="1:26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customHeight="1" spans="1:2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customHeight="1" spans="1:26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customHeight="1" spans="1:26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customHeight="1" spans="1:26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customHeight="1" spans="1:26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customHeight="1" spans="1:26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customHeight="1" spans="1:26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customHeight="1" spans="1:26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customHeight="1" spans="1:26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customHeight="1" spans="1:26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customHeight="1" spans="1:2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customHeight="1" spans="1:26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customHeight="1" spans="1:26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customHeight="1" spans="1:26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customHeight="1" spans="1:26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customHeight="1" spans="1:26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customHeight="1" spans="1:26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customHeight="1" spans="1:26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customHeight="1" spans="1:26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customHeight="1" spans="1:26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customHeight="1" spans="1:2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customHeight="1" spans="1:26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customHeight="1" spans="1:26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customHeight="1" spans="1:26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customHeight="1" spans="1:26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customHeight="1" spans="1:26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customHeight="1" spans="1:26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customHeight="1" spans="1:26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customHeight="1" spans="1:26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customHeight="1" spans="1:26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customHeight="1" spans="1:2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customHeight="1" spans="1:26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customHeight="1" spans="1:26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customHeight="1" spans="1:26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customHeight="1" spans="1:26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customHeight="1" spans="1:26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customHeight="1" spans="1:26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customHeight="1" spans="1:26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customHeight="1" spans="1:26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customHeight="1" spans="1:26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customHeight="1" spans="1:2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customHeight="1" spans="1:26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customHeight="1" spans="1:26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customHeight="1" spans="1:26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customHeight="1" spans="1:26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customHeight="1" spans="1:26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customHeight="1" spans="1:26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customHeight="1" spans="1:26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customHeight="1" spans="1:26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customHeight="1" spans="1:26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customHeight="1" spans="1:2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customHeight="1" spans="1:26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customHeight="1" spans="1:26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customHeight="1" spans="1:26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customHeight="1" spans="1:26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customHeight="1" spans="1:26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customHeight="1" spans="1:26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customHeight="1" spans="1:26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customHeight="1" spans="1:26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customHeight="1" spans="1:26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customHeight="1" spans="1:2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customHeight="1" spans="1:26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customHeight="1" spans="1:26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customHeight="1" spans="1:26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customHeight="1" spans="1:26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customHeight="1" spans="1:26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customHeight="1" spans="1:26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customHeight="1" spans="1:26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customHeight="1" spans="1:26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customHeight="1" spans="1:26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customHeight="1" spans="1: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customHeight="1" spans="1:26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customHeight="1" spans="1:26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customHeight="1" spans="1:26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customHeight="1" spans="1:26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customHeight="1" spans="1:26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customHeight="1" spans="1:26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customHeight="1" spans="1:26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customHeight="1" spans="1:26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customHeight="1" spans="1:26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customHeight="1" spans="1:2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customHeight="1" spans="1:26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customHeight="1" spans="1:26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customHeight="1" spans="1:26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customHeight="1" spans="1:26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customHeight="1" spans="1:26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customHeight="1" spans="1:26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customHeight="1" spans="1:26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customHeight="1" spans="1:26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customHeight="1" spans="1:26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customHeight="1" spans="1:2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customHeight="1" spans="1:26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customHeight="1" spans="1:26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customHeight="1" spans="1:26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customHeight="1" spans="1:26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customHeight="1" spans="1:26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customHeight="1" spans="1:26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customHeight="1" spans="1:26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customHeight="1" spans="1:26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customHeight="1" spans="1:26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customHeight="1" spans="1:2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customHeight="1" spans="1:26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customHeight="1" spans="1:26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customHeight="1" spans="1:26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customHeight="1" spans="1:26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customHeight="1" spans="1:26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customHeight="1" spans="1:26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customHeight="1" spans="1:26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customHeight="1" spans="1:26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customHeight="1" spans="1:26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customHeight="1" spans="1:2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customHeight="1" spans="1:26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customHeight="1" spans="1:26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customHeight="1" spans="1:26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customHeight="1" spans="1:26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customHeight="1" spans="1:26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customHeight="1" spans="1:26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customHeight="1" spans="1:26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customHeight="1" spans="1:26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customHeight="1" spans="1:26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customHeight="1" spans="1:2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customHeight="1" spans="1:26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customHeight="1" spans="1:26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customHeight="1" spans="1:26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customHeight="1" spans="1:26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customHeight="1" spans="1:26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customHeight="1" spans="1:26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customHeight="1" spans="1:26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customHeight="1" spans="1:26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customHeight="1" spans="1:26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customHeight="1" spans="1:26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customHeight="1" spans="1:26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customHeight="1" spans="1:26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customHeight="1" spans="1:26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customHeight="1" spans="1:26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customHeight="1" spans="1:26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customHeight="1" spans="1:26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customHeight="1" spans="1:26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customHeight="1" spans="1:26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customHeight="1" spans="1:26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customHeight="1" spans="1:26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customHeight="1" spans="1:26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customHeight="1" spans="1:26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customHeight="1" spans="1:26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customHeight="1" spans="1:26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mergeCells count="76">
    <mergeCell ref="A1:E1"/>
    <mergeCell ref="F1:L1"/>
    <mergeCell ref="D2:E2"/>
    <mergeCell ref="D3:E3"/>
    <mergeCell ref="D4:E4"/>
    <mergeCell ref="D5:E5"/>
    <mergeCell ref="C6:E6"/>
    <mergeCell ref="D7:E7"/>
    <mergeCell ref="C8:E8"/>
    <mergeCell ref="C9:E9"/>
    <mergeCell ref="C10:E10"/>
    <mergeCell ref="C11:E11"/>
    <mergeCell ref="D12:E12"/>
    <mergeCell ref="C13:E13"/>
    <mergeCell ref="D14:E14"/>
    <mergeCell ref="A15:L15"/>
    <mergeCell ref="A16:E16"/>
    <mergeCell ref="F16:L16"/>
    <mergeCell ref="C22:E22"/>
    <mergeCell ref="C23:E23"/>
    <mergeCell ref="D24:E24"/>
    <mergeCell ref="D25:E25"/>
    <mergeCell ref="A26:L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D38:E38"/>
    <mergeCell ref="C39:E39"/>
    <mergeCell ref="C40:E40"/>
    <mergeCell ref="C41:E41"/>
    <mergeCell ref="C42:E42"/>
    <mergeCell ref="C43:E43"/>
    <mergeCell ref="A44:L44"/>
    <mergeCell ref="A45:L45"/>
    <mergeCell ref="A46:L46"/>
    <mergeCell ref="A47:L47"/>
    <mergeCell ref="A48:L48"/>
    <mergeCell ref="A49:L49"/>
    <mergeCell ref="A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A73:L73"/>
    <mergeCell ref="A74:L74"/>
    <mergeCell ref="F11:F14"/>
    <mergeCell ref="L11:L14"/>
    <mergeCell ref="G11:K14"/>
    <mergeCell ref="F27:L43"/>
    <mergeCell ref="F50:L72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斑兔标准定价</vt:lpstr>
      <vt:lpstr>调价策略</vt:lpstr>
      <vt:lpstr>工作签证成本价格</vt:lpstr>
      <vt:lpstr>曾科林</vt:lpstr>
      <vt:lpstr>lyne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roi</cp:lastModifiedBy>
  <dcterms:created xsi:type="dcterms:W3CDTF">2025-11-04T16:59:00Z</dcterms:created>
  <dcterms:modified xsi:type="dcterms:W3CDTF">2025-11-04T16:59:14Z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C27A9C2D78DD8C7B72CE09694CFA6578_43</vt:lpwstr>
  </property>
  <property fmtid="{D5CDD505-2E9C-101B-9397-08002B2CF9AE}" pid="3" name="KSOProductBuildVer">
    <vt:lpwstr>2052-6.14.0.8718</vt:lpwstr>
  </property>
</Properties>
</file>